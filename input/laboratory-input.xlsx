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586c54cfe54d99" /></Relationships>
</file>

<file path=xl/workbook.xml><?xml version="1.0" encoding="utf-8"?>
<x:workbook xmlns:x="http://schemas.openxmlformats.org/spreadsheetml/2006/main">
  <x:sheets>
    <x:sheet xmlns:r="http://schemas.openxmlformats.org/officeDocument/2006/relationships" name="00_チェック" sheetId="1" r:id="R32a693084f6a4830"/>
    <x:sheet xmlns:r="http://schemas.openxmlformats.org/officeDocument/2006/relationships" name="01_基本情報" sheetId="2" r:id="Rb781317ca072426d"/>
    <x:sheet xmlns:r="http://schemas.openxmlformats.org/officeDocument/2006/relationships" name="02_NEWS" sheetId="3" r:id="R9002daafb4c649e1"/>
    <x:sheet xmlns:r="http://schemas.openxmlformats.org/officeDocument/2006/relationships" name="03_研究テーマ" sheetId="4" r:id="Rd67322cef7d34166"/>
    <x:sheet xmlns:r="http://schemas.openxmlformats.org/officeDocument/2006/relationships" name="04_研究室のモットー" sheetId="5" r:id="Rd1f463fedeab48a4"/>
    <x:sheet xmlns:r="http://schemas.openxmlformats.org/officeDocument/2006/relationships" name="05_研究室メンバー" sheetId="6" r:id="R35cc31a364b0450a"/>
    <x:sheet xmlns:r="http://schemas.openxmlformats.org/officeDocument/2006/relationships" name="06_プロフィール" sheetId="7" r:id="R0615ff79c2ad4bcb"/>
    <x:sheet xmlns:r="http://schemas.openxmlformats.org/officeDocument/2006/relationships" name="07_論文・研究発表" sheetId="8" r:id="R241d95e83a66409e"/>
    <x:sheet xmlns:r="http://schemas.openxmlformats.org/officeDocument/2006/relationships" name="08_Contact" sheetId="9" r:id="R0c57c6b078e64653"/>
    <x:sheet xmlns:r="http://schemas.openxmlformats.org/officeDocument/2006/relationships" name="09_フッター" sheetId="10" r:id="R3927489054c546be"/>
    <x:sheet xmlns:r="http://schemas.openxmlformats.org/officeDocument/2006/relationships" name="10_画像" sheetId="11" r:id="Rcf079b8ac0d54458"/>
  </x:sheets>
</x:workbook>
</file>

<file path=xl/sharedStrings.xml><?xml version="1.0" encoding="utf-8"?>
<x:sst xmlns:x="http://schemas.openxmlformats.org/spreadsheetml/2006/main">
  <x:si>
    <x:t xml:space="preserve">研究室HP 入力データ｜入力チェック</x:t>
  </x:si>
  <x:si>
    <x:r>
      <x:rPr>
        <x:sz val="1000"/>
        <x:color rgb="FF000000"/>
        <x:rFont val="ＭＳ ゴシック"/>
        <x:family val="3"/>
      </x:rPr>
      <x:t xml:space="preserve">各シートの黄色いセルを確認してください。「入力完了」になれば、サンプルのまま残っている必須項目はありません。</x:t>
    </x:r>
    <x:r>
      <x:rPr>
        <x:sz val="1000"/>
        <x:color rgb="FF000000"/>
        <x:rFont val="Aptos"/>
        <x:family val="2"/>
      </x:rPr>
      <x:t xml:space="preserve">
</x:t>
    </x:r>
    <x:r>
      <x:rPr>
        <x:b/>
        <x:sz val="1000"/>
        <x:color rgb="FF000000"/>
        <x:rFont val="游ゴシック"/>
        <x:family val="2"/>
      </x:rPr>
      <x:t xml:space="preserve">このファイルは</x:t>
    </x:r>
    <x:r>
      <x:rPr>
        <x:b/>
        <x:sz val="1000"/>
        <x:color rgb="FF000000"/>
        <x:rFont val="Aptos"/>
        <x:family val="2"/>
      </x:rPr>
      <x:t xml:space="preserve">GitHub</x:t>
    </x:r>
    <x:r>
      <x:rPr>
        <x:b/>
        <x:sz val="1000"/>
        <x:color rgb="FF000000"/>
        <x:rFont val="游ゴシック"/>
        <x:family val="2"/>
      </x:rPr>
      <x:t xml:space="preserve">に保存される可能性があります。公開されても問題ない情報だけを記入してください。</x:t>
    </x:r>
  </x:si>
  <x:si>
    <x:t xml:space="preserve">全体判定</x:t>
  </x:si>
  <x:si>
    <x:t xml:space="preserve">No.</x:t>
  </x:si>
  <x:si>
    <x:t xml:space="preserve">シート</x:t>
  </x:si>
  <x:si>
    <x:t xml:space="preserve">状態</x:t>
  </x:si>
  <x:si>
    <x:t xml:space="preserve">内容</x:t>
  </x:si>
  <x:si>
    <x:t xml:space="preserve">確認ポイント</x:t>
  </x:si>
  <x:si>
    <x:t xml:space="preserve">01</x:t>
  </x:si>
  <x:si>
    <x:t xml:space="preserve">01_基本情報</x:t>
  </x:si>
  <x:si>
    <x:t xml:space="preserve">サイト全体</x:t>
  </x:si>
  <x:si>
    <x:t xml:space="preserve">タイトル・検索結果の説明・研究室名</x:t>
  </x:si>
  <x:si>
    <x:t xml:space="preserve">02</x:t>
  </x:si>
  <x:si>
    <x:t xml:space="preserve">02_NEWS</x:t>
  </x:si>
  <x:si>
    <x:t xml:space="preserve">NEWS</x:t>
  </x:si>
  <x:si>
    <x:t xml:space="preserve">不要なら「表示しない」</x:t>
  </x:si>
  <x:si>
    <x:t xml:space="preserve">03</x:t>
  </x:si>
  <x:si>
    <x:t xml:space="preserve">03_研究テーマ</x:t>
  </x:si>
  <x:si>
    <x:t xml:space="preserve">研究テーマ</x:t>
  </x:si>
  <x:si>
    <x:t xml:space="preserve">画像の上下で本文を分ける場合は①②を使い分ける</x:t>
  </x:si>
  <x:si>
    <x:t xml:space="preserve">04</x:t>
  </x:si>
  <x:si>
    <x:t xml:space="preserve">04_研究室のモットー</x:t>
  </x:si>
  <x:si>
    <x:t xml:space="preserve">研究室のモットー</x:t>
  </x:si>
  <x:si>
    <x:t xml:space="preserve">名称変更・削除も可能</x:t>
  </x:si>
  <x:si>
    <x:t xml:space="preserve">05</x:t>
  </x:si>
  <x:si>
    <x:t xml:space="preserve">05_研究室メンバー</x:t>
  </x:si>
  <x:si>
    <x:t xml:space="preserve">研究室メンバー</x:t>
  </x:si>
  <x:si>
    <x:t xml:space="preserve">予備行を使って追加可能</x:t>
  </x:si>
  <x:si>
    <x:t xml:space="preserve">06</x:t>
  </x:si>
  <x:si>
    <x:t xml:space="preserve">06_プロフィール</x:t>
  </x:si>
  <x:si>
    <x:t xml:space="preserve">プロフィール</x:t>
  </x:si>
  <x:si>
    <x:t xml:space="preserve">氏名・経歴・外部リンク</x:t>
  </x:si>
  <x:si>
    <x:t xml:space="preserve">07</x:t>
  </x:si>
  <x:si>
    <x:t xml:space="preserve">07_論文・研究発表</x:t>
  </x:si>
  <x:si>
    <x:t xml:space="preserve">論文・研究発表</x:t>
  </x:si>
  <x:si>
    <x:t xml:space="preserve">分類の削除・名称変更も可能</x:t>
  </x:si>
  <x:si>
    <x:t xml:space="preserve">08</x:t>
  </x:si>
  <x:si>
    <x:t xml:space="preserve">08_Contact</x:t>
  </x:si>
  <x:si>
    <x:t xml:space="preserve">Contact</x:t>
  </x:si>
  <x:si>
    <x:t xml:space="preserve">Google Map設定を含む</x:t>
  </x:si>
  <x:si>
    <x:t xml:space="preserve">09</x:t>
  </x:si>
  <x:si>
    <x:t xml:space="preserve">09_フッター</x:t>
  </x:si>
  <x:si>
    <x:t xml:space="preserve">フッター</x:t>
  </x:si>
  <x:si>
    <x:t xml:space="preserve">コピーライト</x:t>
  </x:si>
  <x:si>
    <x:t xml:space="preserve">セクションを「表示しない」にした場合は、本文だけでなく左メニュー・現在位置表示・そのセクションに連動する機能も含めて削除・調整する前提です。HTMLの一部分だけを消すのではなく、CodexにこのExcel全体を渡して反映させてください。</x:t>
  </x:si>
  <x:si>
    <x:t xml:space="preserve">研究室HP 入力データ｜基本情報</x:t>
  </x:si>
  <x:si>
    <x:t xml:space="preserve">黄色いセルをサンプルから自分の研究室の内容へ書き換えてください。</x:t>
  </x:si>
  <x:si>
    <x:t xml:space="preserve">セクション判定</x:t>
  </x:si>
  <x:si>
    <x:t xml:space="preserve">項目</x:t>
  </x:si>
  <x:si>
    <x:t xml:space="preserve">入力内容</x:t>
  </x:si>
  <x:si>
    <x:t xml:space="preserve">判定</x:t>
  </x:si>
  <x:si>
    <x:t xml:space="preserve">何に使うか</x:t>
  </x:si>
  <x:si>
    <x:t xml:space="preserve">補足</x:t>
  </x:si>
  <x:si>
    <x:t xml:space="preserve">ページタイトル</x:t>
  </x:si>
  <x:si>
    <x:t xml:space="preserve">研究者WEBサイトテンプレート</x:t>
  </x:si>
  <x:si>
    <x:t xml:space="preserve">ブラウザのタブや検索結果のタイトル</x:t>
  </x:si>
  <x:si>
    <x:t xml:space="preserve">研究室名・大学名が分かる表記にします。</x:t>
  </x:si>
  <x:si>
    <x:t xml:space="preserve">検索結果の説明（ディスクリプション）</x:t>
  </x:si>
  <x:si>
    <x:t xml:space="preserve">Google等で検索されたときに表示される短い説明文</x:t>
  </x:si>
  <x:si>
    <x:t xml:space="preserve">研究分野や研究室の特徴が短く伝わる文章にします。</x:t>
  </x:si>
  <x:si>
    <x:t xml:space="preserve">研究室名（日本語）</x:t>
  </x:si>
  <x:si>
    <x:t xml:space="preserve">コミュニケーションデザインラボ - 佐藤研究室</x:t>
  </x:si>
  <x:si>
    <x:t xml:space="preserve">ページ上部の研究室名</x:t>
  </x:si>
  <x:si>
    <x:t xml:space="preserve">研究室名（英語）</x:t>
  </x:si>
  <x:si>
    <x:t xml:space="preserve">Communication Design Laboratory</x:t>
  </x:si>
  <x:si>
    <x:t xml:space="preserve">ページ上部の英語表記</x:t>
  </x:si>
  <x:si>
    <x:t xml:space="preserve">研究室HP 入力データ｜NEWS</x:t>
  </x:si>
  <x:si>
    <x:t xml:space="preserve">このセクションを表示する</x:t>
  </x:si>
  <x:si>
    <x:t xml:space="preserve">はい</x:t>
  </x:si>
  <x:si>
    <x:t xml:space="preserve">「いいえ」にすると、このセクションと左メニューの項目を削除します。</x:t>
  </x:si>
  <x:si>
    <x:t xml:space="preserve">セクション名</x:t>
  </x:si>
  <x:si>
    <x:t xml:space="preserve">名称を変える場合だけ編集してください。ページ見出しと左メニューの名称を同じ内容に変更します。</x:t>
  </x:si>
  <x:si>
    <x:t xml:space="preserve">NEWS自体が不要なら「このセクションを表示する」を「いいえ」にしてください。リンクが不要なニュースはリンクURLを空欄のままで構いません。</x:t>
  </x:si>
  <x:si>
    <x:t xml:space="preserve">日付</x:t>
  </x:si>
  <x:si>
    <x:t xml:space="preserve">本文</x:t>
  </x:si>
  <x:si>
    <x:t xml:space="preserve">リンクURL</x:t>
  </x:si>
  <x:si>
    <x:t xml:space="preserve">2023.10.05</x:t>
  </x:si>
  <x:si>
    <x:t xml:space="preserve">[学年]の[研究室のメンバーの名前]君が[学会の名前]で[賞の名前]を受賞しました。</x:t>
  </x:si>
  <x:si>
    <x:t xml:space="preserve">[研究室名]では新しい研究プロジェクトを開始しました。このプロジェクトでは[研究のテーマや目的]に焦点を当てています。</x:t>
  </x:si>
  <x:si>
    <x:t xml:space="preserve">新しい論文が[学術雑誌の名前]に掲載されました。この論文では[論文の主題や重要な発見]について論じています。</x:t>
  </x:si>
  <x:si>
    <x:t xml:space="preserve">当研究室は[研究テーマ]に関する共同研究を[他の研究機関や企業の名前]と開始しました。この共同研究により[期待される成果や目的]を目指します。</x:t>
  </x:si>
  <x:si>
    <x:t xml:space="preserve">[学年]の[メンバーの名前]君が[学会の名前]において[講演の主題]というテーマで基調講演を行いました。</x:t>
  </x:si>
  <x:si>
    <x:t xml:space="preserve">研究室HP 入力データ｜研究テーマ</x:t>
  </x:si>
  <x:si>
    <x:t xml:space="preserve">人工知能における機械学習アルゴリズムの最適化</x:t>
  </x:si>
  <x:si>
    <x:t xml:space="preserve">当研究では、機械学習アルゴリズムの精度と効率を向上させる方法を探求しています。特に、データの前処理、特徴選択、モデル構築の各ステップでの最新の技術を組み合わせることに重点を置いています。</x:t>
  </x:si>
  <x:si>
    <x:t xml:space="preserve">この研究により、さまざまな分野での応用が可能なより高度な人工知能システムの開発を目指しています。例えば、医療診断、金融市場分析、自動運転車の技術など、社会に大きな影響を与える分野に貢献することを期待しています。</x:t>
  </x:si>
  <x:si>
    <x:t xml:space="preserve">再生可能エネルギー源の開発と利用</x:t>
  </x:si>
  <x:si>
    <x:t xml:space="preserve">本研究では、太陽光、風力、地熱などの再生可能エネルギー源の効率的な活用方法を探求しています。これには、エネルギー変換の効率向上やコスト削減の技術開発が含まれます。 また、再生可能エネルギーの普及を促進するための社会的、経済的な戦略についても研究しています。持続可能なエネルギーシステムの構築に向けて、政策提言や公共啓発活動にも力を入れています。</x:t>
  </x:si>
  <x:si>
    <x:t xml:space="preserve">ヒトの健康と疾患に関するバイオテクノロジーの応用</x:t>
  </x:si>
  <x:si>
    <x:t xml:space="preserve">当研究室では、遺伝子編集技術や幹細胞療法など、最先端のバイオテクノロジーを用いた疾患治療法の開発に取り組んでいます。特に、がんや遺伝性疾患の治療に焦点を当てています。 さらに、これらの治療法の臨床応用に向けて、安全性と効果の評価を行っています。患者のQOL向上に貢献するとともに、新しい医療技術の普及に向けた研究も進めています。</x:t>
  </x:si>
  <x:si>
    <x:t xml:space="preserve">研究室HP 入力データ｜研究室のモットー</x:t>
  </x:si>
  <x:si>
    <x:t xml:space="preserve">「研究室のモットー」というセクション名自体も変更できます。変更した場合は、ページ見出しと左メニューの名称も同じ内容に変更されます。</x:t>
  </x:si>
  <x:si>
    <x:t xml:space="preserve">表題</x:t>
  </x:si>
  <x:si>
    <x:t xml:space="preserve">知識の探求と社会への貢献</x:t>
  </x:si>
  <x:si>
    <x:t xml:space="preserve">私たちの研究室は、最先端の科学技術を追求し、その成果を社会に還元することをミッションとしています。学術的な探究心と実社会への応用を通じて、世界に貢献することを目指します。</x:t>
  </x:si>
  <x:si>
    <x:t xml:space="preserve">革新と協力の精神</x:t>
  </x:si>
  <x:si>
    <x:t xml:space="preserve">私たちは、研究の革新を目指し、異なる分野や文化の専門家と積極的に協力することを重視します。多様なアイデアと視点を統合することで、新しい発見とソリューションを生み出すことを目標としています。</x:t>
  </x:si>
  <x:si>
    <x:t xml:space="preserve">研究室HP 入力データ｜研究室メンバー</x:t>
  </x:si>
  <x:si>
    <x:t xml:space="preserve">下に30行分の入力欄を用意しています。足りない場合は最終行の下へ行を追加して構いません。No.はExcel上の管理用なのでHTMLの表示には使いません。追加行が黄色でなくてもCodexは読み取れますが、判定式がない行は00_チェックの対象外になるため、まずは予備行を使ってください。</x:t>
  </x:si>
  <x:si>
    <x:t xml:space="preserve">区分</x:t>
  </x:si>
  <x:si>
    <x:t xml:space="preserve">年度</x:t>
  </x:si>
  <x:si>
    <x:t xml:space="preserve">氏名・所属等</x:t>
  </x:si>
  <x:si>
    <x:t xml:space="preserve">博士後期課程</x:t>
  </x:si>
  <x:si>
    <x:t xml:space="preserve">佐藤　明子 (3年)</x:t>
  </x:si>
  <x:si>
    <x:t xml:space="preserve">田中　健一 (2年)</x:t>
  </x:si>
  <x:si>
    <x:t xml:space="preserve">鈴木　雅人 (1年)</x:t>
  </x:si>
  <x:si>
    <x:t xml:space="preserve">博士前期課程</x:t>
  </x:si>
  <x:si>
    <x:t xml:space="preserve">伊藤　美咲 (2年)</x:t>
  </x:si>
  <x:si>
    <x:t xml:space="preserve">中村　拓哉 (1年)</x:t>
  </x:si>
  <x:si>
    <x:t xml:space="preserve">OB / OG</x:t>
  </x:si>
  <x:si>
    <x:t xml:space="preserve">1978年度</x:t>
  </x:si>
  <x:si>
    <x:t xml:space="preserve">山田　花 (芦田先端技研株式会社)</x:t>
  </x:si>
  <x:si>
    <x:t xml:space="preserve">佐々木　一郎 (星明技術研究所　研究員)</x:t>
  </x:si>
  <x:si>
    <x:t xml:space="preserve">1979年度</x:t>
  </x:si>
  <x:si>
    <x:t xml:space="preserve">吉田　美香 (帝都大学　研究員)</x:t>
  </x:si>
  <x:si>
    <x:t xml:space="preserve">鈴木　陽一 (株式会社藍原エコエネルギー研究所)</x:t>
  </x:si>
  <x:si>
    <x:t xml:space="preserve">研究室HP 入力データ｜プロフィール</x:t>
  </x:si>
  <x:si>
    <x:t xml:space="preserve">経歴・受賞歴・所属学会などの「区分」は自由に変更できます。不要な行は空欄にしてください。下の予備行もそのまま使えます。</x:t>
  </x:si>
  <x:si>
    <x:t xml:space="preserve">基本情報</x:t>
  </x:si>
  <x:si>
    <x:t xml:space="preserve">肩書</x:t>
  </x:si>
  <x:si>
    <x:t xml:space="preserve">教授</x:t>
  </x:si>
  <x:si>
    <x:t xml:space="preserve">氏名（日本語）</x:t>
  </x:si>
  <x:si>
    <x:t xml:space="preserve">佐藤 太郎</x:t>
  </x:si>
  <x:si>
    <x:t xml:space="preserve">氏名（英語）</x:t>
  </x:si>
  <x:si>
    <x:t xml:space="preserve">Sato Taro</x:t>
  </x:si>
  <x:si>
    <x:t xml:space="preserve">外部リンク名</x:t>
  </x:si>
  <x:si>
    <x:t xml:space="preserve">URL</x:t>
  </x:si>
  <x:si>
    <x:t xml:space="preserve">帝都大学研究者紹介</x:t>
  </x:si>
  <x:si>
    <x:t xml:space="preserve">不要な行は名称とURLを両方空欄にします。</x:t>
  </x:si>
  <x:si>
    <x:t xml:space="preserve">Google Scholar</x:t>
  </x:si>
  <x:si>
    <x:t xml:space="preserve">年</x:t>
  </x:si>
  <x:si>
    <x:t xml:space="preserve">経歴</x:t>
  </x:si>
  <x:si>
    <x:t xml:space="preserve">2023</x:t>
  </x:si>
  <x:si>
    <x:t xml:space="preserve">帝都大学工学部卒業</x:t>
  </x:si>
  <x:si>
    <x:t xml:space="preserve">帝都大学大学院工学研究科博士前期課程入学</x:t>
  </x:si>
  <x:si>
    <x:t xml:space="preserve">帝都大学大学院工学研究科博士前期課程修了</x:t>
  </x:si>
  <x:si>
    <x:t xml:space="preserve">帝都大学大学院工学研究科博士後期課程入学</x:t>
  </x:si>
  <x:si>
    <x:t xml:space="preserve">帝都大学大学院工学研究科博士後期課程修了</x:t>
  </x:si>
  <x:si>
    <x:t xml:space="preserve">ABCテクノロジー株式会社　研究員</x:t>
  </x:si>
  <x:si>
    <x:t xml:space="preserve">帝都大学　准教授</x:t>
  </x:si>
  <x:si>
    <x:t xml:space="preserve">帝都大学　教授</x:t>
  </x:si>
  <x:si>
    <x:t xml:space="preserve">受賞歴</x:t>
  </x:si>
  <x:si>
    <x:t xml:space="preserve">日本データサイエンス賞受賞</x:t>
  </x:si>
  <x:si>
    <x:t xml:space="preserve">国際AI学会最優秀論文賞</x:t>
  </x:si>
  <x:si>
    <x:t xml:space="preserve">所属学会</x:t>
  </x:si>
  <x:si>
    <x:t xml:space="preserve">全国人工知能研究学会</x:t>
  </x:si>
  <x:si>
    <x:t xml:space="preserve">アジア人工知能技術学会</x:t>
  </x:si>
  <x:si>
    <x:t xml:space="preserve">先端AIイノベーション学会</x:t>
  </x:si>
  <x:si>
    <x:t xml:space="preserve">研究室HP 入力データ｜論文・研究発表</x:t>
  </x:si>
  <x:si>
    <x:t xml:space="preserve">分類名は下の「分類設定」で変更します。分類を使わない場合は「表示する」を「いいえ」にしてください。その分類のタブ・左メニュー内の項目・対応する一覧をまとめて削除します。名称を変えれば、タブと左メニュー内の名称も同じ内容に変更します。</x:t>
  </x:si>
  <x:si>
    <x:t xml:space="preserve">分類No.</x:t>
  </x:si>
  <x:si>
    <x:t xml:space="preserve">表示する</x:t>
  </x:si>
  <x:si>
    <x:t xml:space="preserve">分類名</x:t>
  </x:si>
  <x:si>
    <x:t xml:space="preserve">論文誌</x:t>
  </x:si>
  <x:si>
    <x:t xml:space="preserve">名称変更はこのセルだけで構いません。</x:t>
  </x:si>
  <x:si>
    <x:t xml:space="preserve">学会発表</x:t>
  </x:si>
  <x:si>
    <x:t xml:space="preserve">外部記事</x:t>
  </x:si>
  <x:si>
    <x:t xml:space="preserve">書籍</x:t>
  </x:si>
  <x:si>
    <x:t xml:space="preserve">その他</x:t>
  </x:si>
  <x:si>
    <x:t xml:space="preserve">分類</x:t>
  </x:si>
  <x:si>
    <x:t xml:space="preserve">外部リンクURL</x:t>
  </x:si>
  <x:si>
    <x:t xml:space="preserve">佐藤 太郎, 佐藤真理子, 吉田章: 「組み込みシステムにおける人工知能の応用と性能改善」, 全国人工知能研究学会論文誌, 第39巻2号, (2024).</x:t>
  </x:si>
  <x:si>
    <x:t xml:space="preserve">論文誌_リスト</x:t>
  </x:si>
  <x:si>
    <x:t xml:space="preserve">学会発表_リスト</x:t>
  </x:si>
  <x:si>
    <x:t xml:space="preserve">外部記事_リスト</x:t>
  </x:si>
  <x:si>
    <x:t xml:space="preserve">書籍_リスト</x:t>
  </x:si>
  <x:si>
    <x:t xml:space="preserve">その他_リスト</x:t>
  </x:si>
  <x:si>
    <x:t xml:space="preserve">各分類に10件分の入力欄を用意しています。足りない場合は、その分類の最後に行を追加して構いません。No.はExcel上の管理用です。追加行に判定式がなくてもCodexは内容を読み取れますが、00_チェックでは検査されません。</x:t>
  </x:si>
  <x:si>
    <x:t xml:space="preserve">研究室HP 入力データ｜Contact</x:t>
  </x:si>
  <x:si>
    <x:t xml:space="preserve">Contact自体が不要なら「このセクションを表示する」を「いいえ」にしてください。Google Mapだけ非表示にすることもできます。</x:t>
  </x:si>
  <x:si>
    <x:t xml:space="preserve">募集・問い合わせ文</x:t>
  </x:si>
  <x:si>
    <x:t xml:space="preserve">「コミュニケーションデザインラボ - 佐藤研究室」では学生の研究生を募集しています。興味がある方はお気軽にご連絡ください。</x:t>
  </x:si>
  <x:si>
    <x:t xml:space="preserve">問い合わせ文。</x:t>
  </x:si>
  <x:si>
    <x:t xml:space="preserve">メールアドレス</x:t>
  </x:si>
  <x:si>
    <x:t xml:space="preserve">sample@test.co.jp</x:t>
  </x:si>
  <x:si>
    <x:t xml:space="preserve">公開問い合わせ先。</x:t>
  </x:si>
  <x:si>
    <x:t xml:space="preserve">郵便番号</x:t>
  </x:si>
  <x:si>
    <x:t xml:space="preserve">〒000-0000</x:t>
  </x:si>
  <x:si>
    <x:t xml:space="preserve">住所</x:t>
  </x:si>
  <x:si>
    <x:t xml:space="preserve">東京都千代田区0-0-0帝都大学千代田キャンパス3号館201号室</x:t>
  </x:si>
  <x:si>
    <x:t xml:space="preserve">Google Map設定</x:t>
  </x:si>
  <x:si>
    <x:t xml:space="preserve">説明</x:t>
  </x:si>
  <x:si>
    <x:t xml:space="preserve">Google Mapを表示する</x:t>
  </x:si>
  <x:si>
    <x:t xml:space="preserve">地図が不要なら「いいえ」にします。</x:t>
  </x:si>
  <x:si>
    <x:t xml:space="preserve">Google Map埋め込みHTML</x:t>
  </x:si>
  <x:si>
    <x:t xml:space="preserve">ここにGoogle Mapの「HTMLをコピー」で取得したiframeを貼り付けてください</x:t>
  </x:si>
  <x:si>
    <x:t xml:space="preserve">Google Mapの共有 → 地図を埋め込む → HTMLをコピー、で取得した内容をそのまま貼り付けます。</x:t>
  </x:si>
  <x:si>
    <x:t xml:space="preserve">Google Map 設定手順</x:t>
  </x:si>
  <x:si>
    <x:t xml:space="preserve">1. Google Mapsで研究室の場所を表示します。
2. 「共有」を押し、「地図を埋め込む」を選びます。
3. 「HTMLをコピー」を押します。
4. コピーした &lt;iframe ...&gt;&lt;/iframe&gt; 全体を上の「Google Map埋め込みHTML」に貼り付けます。</x:t>
  </x:si>
  <x:si>
    <x:t xml:space="preserve">Google Maps</x:t>
  </x:si>
  <x:si>
    <x:t xml:space="preserve">https://www.google.com/maps</x:t>
  </x:si>
  <x:si>
    <x:t xml:space="preserve">研究室HP 入力データ｜フッター</x:t>
  </x:si>
  <x:si>
    <x:t xml:space="preserve">コピーライトの研究室名を差し替えてください。</x:t>
  </x:si>
  <x:si>
    <x:t xml:space="preserve">Copyright (C) 研究室名. All Rights Reserved.</x:t>
  </x:si>
  <x:si>
    <x:t xml:space="preserve">研究室名を差し替えます。</x:t>
  </x:si>
</x:sst>
</file>

<file path=xl/styles.xml><?xml version="1.0" encoding="utf-8"?>
<x:styleSheet xmlns:x="http://schemas.openxmlformats.org/spreadsheetml/2006/main">
  <x:fonts count="19">
    <x:font>
      <x:sz val="11"/>
      <x:name val="Carlito"/>
    </x:font>
    <x:font>
      <x:b/>
      <x:sz val="10"/>
      <x:color rgb="FFFFFFFF"/>
      <x:name val="Aptos"/>
    </x:font>
    <x:font>
      <x:sz val="10"/>
      <x:name val="Aptos"/>
    </x:font>
    <x:font>
      <x:b/>
      <x:sz val="10"/>
      <x:name val="Aptos"/>
    </x:font>
    <x:font>
      <x:sz val="10"/>
      <x:color rgb="FF7C4A03"/>
      <x:name val="Aptos"/>
    </x:font>
    <x:font>
      <x:b/>
      <x:sz val="14"/>
      <x:color rgb="FFFFFFFF"/>
      <x:name val="Aptos"/>
    </x:font>
    <x:font>
      <x:sz val="10"/>
      <x:color rgb="FF555555"/>
      <x:name val="Aptos"/>
    </x:font>
    <x:font>
      <x:sz val="10"/>
      <x:color rgb="FF334155"/>
      <x:name val="Aptos"/>
    </x:font>
    <x:font>
      <x:sz val="10"/>
      <x:color rgb="FF444444"/>
      <x:name val="Aptos"/>
    </x:font>
    <x:font>
      <x:sz val="10"/>
      <x:color rgb="FF0563C1"/>
      <x:name val="Aptos"/>
    </x:font>
    <x:font>
      <x:sz val="11"/>
      <x:name val="Carlito"/>
    </x:font>
    <x:font>
      <x:sz val="6"/>
      <x:name val="ＭＳ Ｐゴシック"/>
    </x:font>
    <x:font>
      <x:sz val="10"/>
      <x:name val="ＭＳ ゴシック"/>
    </x:font>
    <x:font>
      <x:b/>
      <x:sz val="10"/>
      <x:name val="游ゴシック"/>
    </x:font>
    <x:font>
      <x:sz val="10"/>
      <x:name val="Aptos"/>
    </x:font>
    <x:font>
      <x:b/>
      <x:sz val="11"/>
      <x:color rgb="FFFFFFFF"/>
      <x:name val="Carlito"/>
    </x:font>
    <x:font>
      <x:b/>
      <x:sz val="14"/>
      <x:color rgb="FFFFFFFF"/>
      <x:name val="Carlito"/>
    </x:font>
    <x:font>
      <x:sz val="11"/>
      <x:color rgb="FF334155"/>
      <x:name val="Carlito"/>
    </x:font>
    <x:font>
      <x:b/>
      <x:sz val="11"/>
      <x:name val="Carlito"/>
    </x:font>
  </x:fonts>
  <x:fills count="1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4E5"/>
      </x:patternFill>
    </x:fill>
    <x:fill>
      <x:patternFill patternType="solid">
        <x:fgColor rgb="FFFFF2CC"/>
      </x:patternFill>
    </x:fill>
    <x:fill>
      <x:patternFill patternType="solid">
        <x:fgColor rgb="FFF2F2F2"/>
      </x:patternFill>
    </x:fill>
    <x:fill>
      <x:patternFill patternType="solid">
        <x:fgColor rgb="FFEAF3F8"/>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AF3F8"/>
      </x:patternFill>
    </x:fill>
    <x:fill>
      <x:patternFill patternType="solid">
        <x:fgColor rgb="FFF2F2F2"/>
      </x:patternFill>
    </x:fill>
  </x:fills>
  <x:borders count="2">
    <x:border/>
    <x:border/>
  </x:borders>
  <x:cellStyleXfs count="2">
    <x:xf numFmtId="0" fontId="0" fillId="0" borderId="0"/>
    <x:xf numFmtId="0" fontId="10" fillId="0" borderId="0"/>
  </x:cellStyleXfs>
  <x:cellXfs count="78">
    <x:xf numFmtId="0" fontId="0" fillId="0" borderId="0" xfId="0"/>
    <x:xf numFmtId="0" fontId="1" fillId="4" borderId="0" xfId="1" applyFont="1" applyFill="1" applyAlignment="1">
      <x:alignment horizontal="center" vertical="top" wrapText="1"/>
    </x:xf>
    <x:xf numFmtId="0" fontId="2" fillId="0" borderId="0" xfId="1" applyFont="1" applyAlignment="1">
      <x:alignment vertical="top" wrapText="1"/>
    </x:xf>
    <x:xf numFmtId="0" fontId="3" fillId="3" borderId="0" xfId="1" applyFont="1" applyFill="1" applyAlignment="1">
      <x:alignment vertical="top" wrapText="1"/>
    </x:xf>
    <x:xf numFmtId="0" fontId="2" fillId="6" borderId="0" xfId="1" applyFont="1" applyFill="1" applyAlignment="1">
      <x:alignment vertical="top" wrapText="1"/>
    </x:xf>
    <x:xf numFmtId="0" fontId="3" fillId="8" borderId="0" xfId="1" applyFont="1" applyFill="1" applyAlignment="1">
      <x:alignment vertical="top" wrapText="1"/>
    </x:xf>
    <x:xf numFmtId="0" fontId="8" fillId="7" borderId="0" xfId="1" applyFont="1" applyFill="1" applyAlignment="1">
      <x:alignment vertical="top" wrapText="1"/>
    </x:xf>
    <x:xf numFmtId="0" fontId="9" fillId="8" borderId="0" xfId="1" applyFont="1" applyFill="1" applyAlignment="1">
      <x:alignment vertical="top" wrapText="1"/>
    </x:xf>
    <x:xf numFmtId="0" fontId="5" fillId="2" borderId="0" xfId="1" applyFont="1" applyFill="1" applyAlignment="1">
      <x:alignment vertical="top" wrapText="1"/>
    </x:xf>
    <x:xf numFmtId="0" fontId="6" fillId="7" borderId="0" xfId="1" applyFont="1" applyFill="1" applyAlignment="1">
      <x:alignment vertical="top" wrapText="1"/>
    </x:xf>
    <x:xf numFmtId="0" fontId="7" fillId="8" borderId="0" xfId="1" applyFont="1" applyFill="1" applyAlignment="1">
      <x:alignment vertical="top" wrapText="1"/>
    </x:xf>
    <x:xf numFmtId="0" fontId="3" fillId="3" borderId="0" xfId="1" applyFont="1" applyFill="1" applyAlignment="1">
      <x:alignment vertical="top" wrapText="1"/>
    </x:xf>
    <x:xf numFmtId="0" fontId="2" fillId="3" borderId="0" xfId="1" applyFont="1" applyFill="1" applyAlignment="1">
      <x:alignment vertical="top" wrapText="1"/>
    </x:xf>
    <x:xf numFmtId="0" fontId="3" fillId="0" borderId="0" xfId="1" applyFont="1" applyAlignment="1">
      <x:alignment horizontal="center" vertical="top" wrapText="1"/>
    </x:xf>
    <x:xf numFmtId="0" fontId="4" fillId="5" borderId="0" xfId="1" applyFont="1" applyFill="1" applyAlignment="1">
      <x:alignment vertical="top" wrapText="1"/>
    </x:xf>
    <x:xf numFmtId="0" fontId="14" fillId="3" borderId="0" xfId="1" applyFont="1" applyFill="1" applyAlignment="1">
      <x:alignment vertical="top" wrapText="1"/>
    </x:xf>
    <x:xf numFmtId="0" fontId="0" fillId="0" borderId="1" xfId="0" applyNumberFormat="1" applyFont="1" applyFill="1" applyBorder="1"/>
    <x:xf numFmtId="0" fontId="1" fillId="4" borderId="1" xfId="0" applyNumberFormat="1" applyFont="1" applyFill="1" applyBorder="1" applyAlignment="1">
      <x:alignment horizontal="center" vertical="top" wrapText="1"/>
    </x:xf>
    <x:xf numFmtId="0" fontId="2" fillId="0"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8" fillId="7" borderId="1"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7" fillId="8"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wrapText="1"/>
    </x:xf>
    <x:xf numFmtId="0" fontId="1" fillId="9" borderId="0" xfId="0" applyNumberFormat="1" applyFont="1" applyFill="1" applyBorder="1" applyAlignment="1">
      <x:alignment horizontal="center" vertical="top"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15" fillId="9" borderId="0" xfId="0" applyNumberFormat="1" applyFont="1" applyFill="1" applyBorder="1" applyAlignment="1">
      <x:alignment horizontal="center" vertical="center" wrapText="1"/>
    </x:xf>
    <x:xf numFmtId="0" fontId="1" fillId="9" borderId="1" xfId="0" applyNumberFormat="1" applyFont="1" applyFill="1" applyBorder="1" applyAlignment="1">
      <x:alignment horizontal="center" vertical="top"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 fillId="9" borderId="1" xfId="0" applyNumberFormat="1" applyFont="1" applyFill="1" applyBorder="1" applyAlignment="1">
      <x:alignment horizontal="center" vertical="center" wrapText="1"/>
    </x:xf>
    <x:xf numFmtId="0" fontId="15" fillId="9" borderId="1" xfId="0" applyNumberFormat="1" applyFont="1" applyFill="1" applyBorder="1" applyAlignment="1">
      <x:alignment horizontal="center" vertical="center" wrapText="1"/>
    </x:xf>
    <x:xf numFmtId="0" fontId="2" fillId="10" borderId="0" xfId="0" applyNumberFormat="1" applyFont="1" applyFill="1" applyBorder="1" applyAlignment="1">
      <x:alignment vertical="top" wrapText="1"/>
    </x:xf>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xf numFmtId="0" fontId="2" fillId="10" borderId="1" xfId="0" applyNumberFormat="1" applyFont="1" applyFill="1" applyBorder="1" applyAlignment="1">
      <x:alignment vertical="top" wrapText="1"/>
    </x:xf>
    <x:xf numFmtId="0" fontId="0" fillId="10" borderId="1" xfId="0" applyNumberFormat="1" applyFont="1" applyFill="1" applyBorder="1"/>
    <x:xf numFmtId="0" fontId="0" fillId="10" borderId="1" xfId="0" applyNumberFormat="1" applyFont="1" applyFill="1" applyBorder="1" applyAlignment="1">
      <x:alignment wrapText="1"/>
    </x:xf>
    <x:xf numFmtId="0" fontId="0" fillId="10" borderId="1" xfId="0" applyNumberFormat="1" applyFont="1" applyFill="1" applyBorder="1" applyAlignment="1">
      <x:alignment vertical="top"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11" borderId="0" xfId="0" applyNumberFormat="1" applyFont="1" applyFill="1" applyBorder="1"/>
    <x:xf numFmtId="0" fontId="16" fillId="11" borderId="0" xfId="0" applyNumberFormat="1" applyFont="1" applyFill="1" applyBorder="1"/>
    <x:xf numFmtId="0" fontId="16" fillId="11" borderId="0" xfId="0" applyNumberFormat="1" applyFont="1" applyFill="1" applyBorder="1" applyAlignment="1">
      <x:alignment vertical="center"/>
    </x:xf>
    <x:xf numFmtId="0" fontId="0" fillId="11" borderId="1" xfId="0" applyNumberFormat="1" applyFont="1" applyFill="1" applyBorder="1"/>
    <x:xf numFmtId="0" fontId="16" fillId="11" borderId="1" xfId="0" applyNumberFormat="1" applyFont="1" applyFill="1" applyBorder="1"/>
    <x:xf numFmtId="0" fontId="16" fillId="11" borderId="1" xfId="0" applyNumberFormat="1" applyFont="1" applyFill="1" applyBorder="1" applyAlignment="1">
      <x:alignment vertical="center"/>
    </x:xf>
    <x:xf numFmtId="0" fontId="0" fillId="12" borderId="0" xfId="0" applyNumberFormat="1" applyFont="1" applyFill="1" applyBorder="1"/>
    <x:xf numFmtId="0" fontId="0" fillId="12" borderId="0" xfId="0" applyNumberFormat="1" applyFont="1" applyFill="1" applyBorder="1" applyAlignment="1">
      <x:alignment wrapText="1"/>
    </x:xf>
    <x:xf numFmtId="0" fontId="0" fillId="12" borderId="1" xfId="0" applyNumberFormat="1" applyFont="1" applyFill="1" applyBorder="1"/>
    <x:xf numFmtId="0" fontId="0" fillId="12" borderId="1" xfId="0" applyNumberFormat="1" applyFont="1" applyFill="1" applyBorder="1" applyAlignment="1">
      <x:alignment wrapText="1"/>
    </x:xf>
    <x:xf numFmtId="0" fontId="0" fillId="13" borderId="0" xfId="0" applyNumberFormat="1" applyFont="1" applyFill="1" applyBorder="1"/>
    <x:xf numFmtId="0" fontId="17" fillId="13" borderId="0" xfId="0" applyNumberFormat="1" applyFont="1" applyFill="1" applyBorder="1"/>
    <x:xf numFmtId="0" fontId="17" fillId="13" borderId="0" xfId="0" applyNumberFormat="1" applyFont="1" applyFill="1" applyBorder="1" applyAlignment="1">
      <x:alignment wrapText="1"/>
    </x:xf>
    <x:xf numFmtId="0" fontId="0" fillId="13" borderId="1" xfId="0" applyNumberFormat="1" applyFont="1" applyFill="1" applyBorder="1"/>
    <x:xf numFmtId="0" fontId="17" fillId="13" borderId="1" xfId="0" applyNumberFormat="1" applyFont="1" applyFill="1" applyBorder="1"/>
    <x:xf numFmtId="0" fontId="17" fillId="13" borderId="1" xfId="0" applyNumberFormat="1" applyFont="1" applyFill="1" applyBorder="1" applyAlignment="1">
      <x:alignment wrapText="1"/>
    </x:xf>
    <x:xf numFmtId="0" fontId="18" fillId="12" borderId="0" xfId="0" applyNumberFormat="1" applyFont="1" applyFill="1" applyBorder="1"/>
    <x:xf numFmtId="0" fontId="18" fillId="12" borderId="1" xfId="0" applyNumberFormat="1" applyFont="1" applyFill="1" applyBorder="1"/>
    <x:xf numFmtId="0" fontId="0" fillId="14" borderId="0" xfId="0" applyNumberFormat="1" applyFont="1" applyFill="1" applyBorder="1"/>
    <x:xf numFmtId="0" fontId="18" fillId="14" borderId="0" xfId="0" applyNumberFormat="1" applyFont="1" applyFill="1" applyBorder="1"/>
    <x:xf numFmtId="0" fontId="18" fillId="14" borderId="0" xfId="0" applyNumberFormat="1" applyFont="1" applyFill="1" applyBorder="1" applyAlignment="1">
      <x:alignment horizontal="center"/>
    </x:xf>
    <x:xf numFmtId="0" fontId="0" fillId="14" borderId="1" xfId="0" applyNumberFormat="1" applyFont="1" applyFill="1" applyBorder="1"/>
    <x:xf numFmtId="0" fontId="18" fillId="14" borderId="1" xfId="0" applyNumberFormat="1" applyFont="1" applyFill="1" applyBorder="1"/>
    <x:xf numFmtId="0" fontId="18" fillId="14" borderId="1" xfId="0" applyNumberFormat="1" applyFont="1" applyFill="1" applyBorder="1" applyAlignment="1">
      <x:alignment horizontal="center"/>
    </x:xf>
  </x:cellXfs>
  <x:cellStyles count="2">
    <x:cellStyle name="Normal" xfId="1"/>
    <x:cellStyle name="標準" xfId="0"/>
  </x:cellStyles>
  <x:dxfs count="80">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color rgb="FF666666"/>
      </x:font>
      <x:fill>
        <x:patternFill>
          <x:bgColor rgb="FFE7E6E6"/>
        </x:patternFill>
      </x:fill>
    </x:dxf>
    <x:dxf>
      <x:font>
        <x:b/>
        <x:color rgb="FF375623"/>
      </x:font>
      <x:fill>
        <x:patternFill>
          <x:bgColor rgb="FFE2F0D9"/>
        </x:patternFill>
      </x:fill>
    </x:dxf>
    <x:dxf>
      <x:font>
        <x:b/>
        <x:color rgb="FF9C0006"/>
      </x:font>
      <x:fill>
        <x:patternFill>
          <x:bgColor rgb="FFFDE9E7"/>
        </x:patternFill>
      </x:fill>
    </x:dxf>
    <x:dxf>
      <x:font>
        <x:b/>
        <x:color rgb="FF375623"/>
      </x:font>
      <x:fill>
        <x:patternFill>
          <x:bgColor rgb="FFE2F0D9"/>
        </x:patternFill>
      </x:fill>
    </x:dxf>
    <x:dxf>
      <x:font>
        <x:b/>
        <x:color rgb="FF9C0006"/>
      </x:font>
      <x:fill>
        <x:patternFill>
          <x:bgColor rgb="FFFDE9E7"/>
        </x:patternFill>
      </x:fill>
    </x:dxf>
    <x:dxf>
      <x:font>
        <x:b/>
        <x:color rgb="FF9C0006"/>
      </x:font>
      <x:fill>
        <x:patternFill patternType="solid">
          <x:bgColor rgb="FFFDE9E7"/>
        </x:patternFill>
      </x:fill>
    </x:dxf>
    <x:dxf>
      <x:font>
        <x:b/>
        <x:color rgb="FF375623"/>
      </x:font>
      <x:fill>
        <x:patternFill patternType="solid">
          <x:bgColor rgb="FFE2F0D9"/>
        </x:patternFill>
      </x:fill>
    </x:dxf>
    <x:dxf>
      <x:font>
        <x:color rgb="FF666666"/>
      </x:font>
      <x:fill>
        <x:patternFill patternType="solid">
          <x:bgColor rgb="FFE7E6E6"/>
        </x:patternFill>
      </x:fill>
    </x:dxf>
    <x:dxf>
      <x:font>
        <x:b/>
        <x:color rgb="FF9C0006"/>
      </x:font>
      <x:fill>
        <x:patternFill patternType="solid">
          <x:bgColor rgb="FFFDE9E7"/>
        </x:patternFill>
      </x:fill>
    </x:dxf>
    <x:dxf>
      <x:font>
        <x:b/>
        <x:color rgb="FF375623"/>
      </x:font>
      <x:fill>
        <x:patternFill patternType="solid">
          <x:bgColor rgb="FFE2F0D9"/>
        </x:patternFill>
      </x:fill>
    </x:dxf>
    <x:dxf>
      <x:font>
        <x:b/>
        <x:color rgb="FF9C0006"/>
      </x:font>
      <x:fill>
        <x:patternFill patternType="solid">
          <x:bgColor rgb="FFFDE9E7"/>
        </x:patternFill>
      </x:fill>
    </x:dxf>
    <x:dxf>
      <x:font>
        <x:b/>
        <x:color rgb="FF375623"/>
      </x:font>
      <x:fill>
        <x:patternFill patternType="solid">
          <x:bgColor rgb="FFE2F0D9"/>
        </x:patternFill>
      </x:fill>
    </x:dxf>
    <x:dxf>
      <x:font>
        <x:b/>
        <x:color rgb="FF9C0006"/>
      </x:font>
      <x:fill>
        <x:patternFill patternType="solid">
          <x:bgColor rgb="FFFDE9E7"/>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19d9375baf4bae" /><Relationship Type="http://schemas.openxmlformats.org/officeDocument/2006/relationships/theme" Target="/xl/theme/theme1.xml" Id="R8a47e8cfdf8b4818" /><Relationship Type="http://schemas.openxmlformats.org/officeDocument/2006/relationships/sharedStrings" Target="/xl/sharedStrings.xml" Id="Rdf06626e45ab465d" /><Relationship Type="http://schemas.openxmlformats.org/officeDocument/2006/relationships/worksheet" Target="/xl/worksheets/sheet1.xml" Id="R32a693084f6a4830" /><Relationship Type="http://schemas.openxmlformats.org/officeDocument/2006/relationships/worksheet" Target="/xl/worksheets/sheet2.xml" Id="Rb781317ca072426d" /><Relationship Type="http://schemas.openxmlformats.org/officeDocument/2006/relationships/worksheet" Target="/xl/worksheets/sheet3.xml" Id="R9002daafb4c649e1" /><Relationship Type="http://schemas.openxmlformats.org/officeDocument/2006/relationships/worksheet" Target="/xl/worksheets/sheet4.xml" Id="Rd67322cef7d34166" /><Relationship Type="http://schemas.openxmlformats.org/officeDocument/2006/relationships/worksheet" Target="/xl/worksheets/sheet5.xml" Id="Rd1f463fedeab48a4" /><Relationship Type="http://schemas.openxmlformats.org/officeDocument/2006/relationships/worksheet" Target="/xl/worksheets/sheet6.xml" Id="R35cc31a364b0450a" /><Relationship Type="http://schemas.openxmlformats.org/officeDocument/2006/relationships/worksheet" Target="/xl/worksheets/sheet7.xml" Id="R0615ff79c2ad4bcb" /><Relationship Type="http://schemas.openxmlformats.org/officeDocument/2006/relationships/worksheet" Target="/xl/worksheets/sheet8.xml" Id="R241d95e83a66409e" /><Relationship Type="http://schemas.openxmlformats.org/officeDocument/2006/relationships/worksheet" Target="/xl/worksheets/sheet9.xml" Id="R0c57c6b078e64653" /><Relationship Type="http://schemas.openxmlformats.org/officeDocument/2006/relationships/worksheet" Target="/xl/worksheets/sheet10.xml" Id="R3927489054c546be" /><Relationship Type="http://schemas.openxmlformats.org/officeDocument/2006/relationships/worksheet" Target="/xl/worksheets/sheet11.xml" Id="Rcf079b8ac0d5445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1" max="1" width="8" customWidth="1"/>
    <x:col min="2" max="2" width="30" customWidth="1"/>
    <x:col min="3" max="3" width="20" customWidth="1"/>
    <x:col min="4" max="4" width="28" customWidth="1"/>
    <x:col min="5" max="5" width="55" customWidth="1"/>
  </x:cols>
  <x:sheetData>
    <x:row r="1" ht="20" customHeight="1">
      <x:c r="A1" s="8" t="s">
        <x:v>0</x:v>
      </x:c>
      <x:c r="B1" s="8"/>
      <x:c r="C1" s="8"/>
      <x:c r="D1" s="8"/>
      <x:c r="E1" s="8"/>
    </x:row>
    <x:row r="2" ht="30.5" customHeight="1">
      <x:c r="A2" s="15" t="s">
        <x:v>1</x:v>
      </x:c>
      <x:c r="B2" s="12"/>
      <x:c r="C2" s="12"/>
      <x:c r="D2" s="12"/>
      <x:c r="E2" s="12"/>
    </x:row>
    <x:row r="3">
      <x:c r="A3" s="2"/>
      <x:c r="B3" s="2"/>
      <x:c r="C3" s="2"/>
      <x:c r="D3" s="2"/>
      <x:c r="E3" s="2"/>
    </x:row>
    <x:row r="4">
      <x:c r="A4" s="3" t="s">
        <x:v>2</x:v>
      </x:c>
      <x:c r="B4" s="13" t="str">
        <x:f>IF(OR(C7="ERROR: 要編集あり",C8="ERROR: 要編集あり",C9="ERROR: 要編集あり",C10="ERROR: 要編集あり",C11="ERROR: 要編集あり",C12="ERROR: 要編集あり",C13="ERROR: 要編集あり",C14="ERROR: 要編集あり",C15="ERROR: 要編集あり",C16="ERROR: 要編集あり"),"入力未完了","入力完了")</x:f>
        <x:v>入力未完了</x:v>
      </x:c>
      <x:c r="C4" s="13"/>
      <x:c r="D4" s="2"/>
      <x:c r="E4" s="2"/>
    </x:row>
    <x:row r="5">
      <x:c r="A5" s="2"/>
      <x:c r="B5" s="2"/>
      <x:c r="C5" s="2"/>
      <x:c r="D5" s="2"/>
      <x:c r="E5" s="2"/>
    </x:row>
    <x:row r="6" ht="20" customHeight="1">
      <x:c r="A6" s="1" t="s">
        <x:v>3</x:v>
      </x:c>
      <x:c r="B6" s="1" t="s">
        <x:v>4</x:v>
      </x:c>
      <x:c r="C6" s="1" t="s">
        <x:v>5</x:v>
      </x:c>
      <x:c r="D6" s="1" t="s">
        <x:v>6</x:v>
      </x:c>
      <x:c r="E6" s="1" t="s">
        <x:v>7</x:v>
      </x:c>
    </x:row>
    <x:row r="7" ht="20" customHeight="1">
      <x:c r="A7" s="2" t="s">
        <x:v>8</x:v>
      </x:c>
      <x:c r="B7" s="2" t="s">
        <x:v>9</x:v>
      </x:c>
      <x:c r="C7" s="2" t="str">
        <x:f>'01_基本情報'!C4</x:f>
        <x:v>ERROR: 要編集あり</x:v>
      </x:c>
      <x:c r="D7" s="2" t="s">
        <x:v>10</x:v>
      </x:c>
      <x:c r="E7" s="2" t="s">
        <x:v>11</x:v>
      </x:c>
    </x:row>
    <x:row r="8" ht="20" customHeight="1">
      <x:c r="A8" s="2" t="s">
        <x:v>12</x:v>
      </x:c>
      <x:c r="B8" s="2" t="s">
        <x:v>13</x:v>
      </x:c>
      <x:c r="C8" s="2" t="str">
        <x:f>'02_NEWS'!C5</x:f>
        <x:v>ERROR: 要編集あり</x:v>
      </x:c>
      <x:c r="D8" s="2" t="s">
        <x:v>14</x:v>
      </x:c>
      <x:c r="E8" s="2" t="s">
        <x:v>15</x:v>
      </x:c>
    </x:row>
    <x:row r="9" ht="20" customHeight="1">
      <x:c r="A9" s="2" t="s">
        <x:v>16</x:v>
      </x:c>
      <x:c r="B9" s="2" t="s">
        <x:v>17</x:v>
      </x:c>
      <x:c r="C9" s="2" t="str">
        <x:f>'03_研究テーマ'!C5</x:f>
        <x:v>ERROR: 要編集あり</x:v>
      </x:c>
      <x:c r="D9" s="2" t="s">
        <x:v>18</x:v>
      </x:c>
      <x:c r="E9" s="2" t="s">
        <x:v>19</x:v>
      </x:c>
    </x:row>
    <x:row r="10" ht="20" customHeight="1">
      <x:c r="A10" s="2" t="s">
        <x:v>20</x:v>
      </x:c>
      <x:c r="B10" s="2" t="s">
        <x:v>21</x:v>
      </x:c>
      <x:c r="C10" s="2" t="str">
        <x:f>'04_研究室のモットー'!C5</x:f>
        <x:v>ERROR: 要編集あり</x:v>
      </x:c>
      <x:c r="D10" s="2" t="s">
        <x:v>22</x:v>
      </x:c>
      <x:c r="E10" s="2" t="s">
        <x:v>23</x:v>
      </x:c>
    </x:row>
    <x:row r="11" ht="20" customHeight="1">
      <x:c r="A11" s="2" t="s">
        <x:v>24</x:v>
      </x:c>
      <x:c r="B11" s="2" t="s">
        <x:v>25</x:v>
      </x:c>
      <x:c r="C11" s="2" t="str">
        <x:f>'05_研究室メンバー'!C5</x:f>
        <x:v>ERROR: 要編集あり</x:v>
      </x:c>
      <x:c r="D11" s="2" t="s">
        <x:v>26</x:v>
      </x:c>
      <x:c r="E11" s="2" t="s">
        <x:v>27</x:v>
      </x:c>
    </x:row>
    <x:row r="12" ht="20" customHeight="1">
      <x:c r="A12" s="2" t="s">
        <x:v>28</x:v>
      </x:c>
      <x:c r="B12" s="2" t="s">
        <x:v>29</x:v>
      </x:c>
      <x:c r="C12" s="2" t="str">
        <x:f>'06_プロフィール'!C5</x:f>
        <x:v>ERROR: 要編集あり</x:v>
      </x:c>
      <x:c r="D12" s="2" t="s">
        <x:v>30</x:v>
      </x:c>
      <x:c r="E12" s="2" t="s">
        <x:v>31</x:v>
      </x:c>
    </x:row>
    <x:row r="13" ht="20" customHeight="1">
      <x:c r="A13" s="2" t="s">
        <x:v>32</x:v>
      </x:c>
      <x:c r="B13" s="2" t="s">
        <x:v>33</x:v>
      </x:c>
      <x:c r="C13" s="2" t="str">
        <x:f>'07_論文・研究発表'!C5</x:f>
        <x:v>ERROR: 要編集あり</x:v>
      </x:c>
      <x:c r="D13" s="2" t="s">
        <x:v>34</x:v>
      </x:c>
      <x:c r="E13" s="2" t="s">
        <x:v>35</x:v>
      </x:c>
    </x:row>
    <x:row r="14" ht="20" customHeight="1">
      <x:c r="A14" s="2" t="s">
        <x:v>36</x:v>
      </x:c>
      <x:c r="B14" s="2" t="s">
        <x:v>37</x:v>
      </x:c>
      <x:c r="C14" s="2" t="str">
        <x:f>'08_Contact'!C5</x:f>
        <x:v>ERROR: 要編集あり</x:v>
      </x:c>
      <x:c r="D14" s="2" t="s">
        <x:v>38</x:v>
      </x:c>
      <x:c r="E14" s="2" t="s">
        <x:v>39</x:v>
      </x:c>
    </x:row>
    <x:row r="15" ht="20" customHeight="1">
      <x:c r="A15" s="2" t="s">
        <x:v>40</x:v>
      </x:c>
      <x:c r="B15" s="2" t="s">
        <x:v>41</x:v>
      </x:c>
      <x:c r="C15" s="2" t="str">
        <x:f>'09_フッター'!C4</x:f>
        <x:v>ERROR: 要編集あり</x:v>
      </x:c>
      <x:c r="D15" s="2" t="s">
        <x:v>42</x:v>
      </x:c>
      <x:c r="E15" s="2" t="s">
        <x:v>43</x:v>
      </x:c>
    </x:row>
    <x:row r="16" ht="30" customHeight="1">
      <x:c r="A16" s="2" t="str">
        <x:v>10</x:v>
      </x:c>
      <x:c r="B16" s="2" t="str">
        <x:v>10_画像</x:v>
      </x:c>
      <x:c r="C16" s="2" t="str">
        <x:f>'10_画像'!C4</x:f>
        <x:v>ERROR: 要編集あり</x:v>
      </x:c>
      <x:c r="D16" s="2" t="str">
        <x:v>画像</x:v>
      </x:c>
      <x:c r="E16" s="2" t="str">
        <x:v>メイン画像必須。その他の画像は任意</x:v>
      </x:c>
    </x:row>
    <x:row r="17" ht="17.399999618530273" customHeight="1">
      <x:c r="A17" s="14" t="s">
        <x:v>44</x:v>
      </x:c>
      <x:c r="B17" s="14"/>
      <x:c r="C17" s="14"/>
      <x:c r="D17" s="14"/>
      <x:c r="E17" s="14"/>
    </x:row>
    <x:row r="18" ht="17.399999618530273" customHeight="1">
      <x:c r="A18" s="14"/>
      <x:c r="B18" s="14"/>
      <x:c r="C18" s="14"/>
      <x:c r="D18" s="14"/>
      <x:c r="E18" s="14"/>
    </x:row>
    <x:row r="19" ht="17.399999618530273" customHeight="1">
      <x:c r="A19" s="14"/>
      <x:c r="B19" s="14"/>
      <x:c r="C19" s="14"/>
      <x:c r="D19" s="14"/>
      <x:c r="E19" s="14"/>
    </x:row>
  </x:sheetData>
  <x:mergeCells>
    <x:mergeCell ref="A1:E1"/>
    <x:mergeCell ref="A2:E2"/>
    <x:mergeCell ref="B4:C4"/>
    <x:mergeCell ref="A17:E19"/>
  </x:mergeCells>
  <x:conditionalFormatting sqref="B4:C4">
    <x:cfRule type="expression" dxfId="70" priority="1">
      <x:formula>B4="入力未完了"</x:formula>
    </x:cfRule>
    <x:cfRule type="expression" dxfId="69" priority="2">
      <x:formula>B4="入力完了"</x:formula>
    </x:cfRule>
  </x:conditionalFormatting>
  <x:conditionalFormatting sqref="C7:C15">
    <x:cfRule type="expression" dxfId="68" priority="3">
      <x:formula>OR(A1="要編集",A1="未入力",LEFT(A1,5)="ERROR")</x:formula>
    </x:cfRule>
    <x:cfRule type="expression" dxfId="67" priority="4">
      <x:formula>A1="OK"</x:formula>
    </x:cfRule>
    <x:cfRule type="expression" dxfId="66" priority="5">
      <x:formula>A1="削除予定"</x:formula>
    </x:cfRule>
  </x:conditionalFormatting>
  <x:conditionalFormatting sqref="C16:C16">
    <x:cfRule type="expression" dxfId="78" priority="6">
      <x:formula>LEFT(C16,5)="ERROR"</x:formula>
    </x:cfRule>
    <x:cfRule type="expression" dxfId="79" priority="7">
      <x:formula>C16="OK"</x:formula>
    </x:cfRule>
  </x:conditionalFormatting>
  <x:pageMargins left="0.7" right="0.7" top="0.75" bottom="0.75" header="0.3" footer="0.3"/>
</x:worksheet>
</file>

<file path=xl/worksheets/sheet2.xml><?xml version="1.0" encoding="utf-8"?>
<x:worksheet xmlns:x="http://schemas.openxmlformats.org/spreadsheetml/2006/main">
  <x:sheetFormatPr defaultRowHeight="14"/>
  <x:cols>
    <x:col min="1" max="1" width="34" customWidth="1"/>
    <x:col min="2" max="2" width="60" customWidth="1"/>
    <x:col min="3" max="3" width="16" customWidth="1"/>
    <x:col min="4" max="4" width="52" customWidth="1"/>
    <x:col min="5" max="5" width="42" customWidth="1"/>
  </x:cols>
  <x:sheetData>
    <x:row r="1" ht="20" customHeight="1">
      <x:c r="A1" s="8" t="s">
        <x:v>45</x:v>
      </x:c>
      <x:c r="B1" s="8"/>
      <x:c r="C1" s="8"/>
      <x:c r="D1" s="8"/>
      <x:c r="E1" s="8"/>
    </x:row>
    <x:row r="2" ht="20" customHeight="1">
      <x:c r="A2" s="12" t="s">
        <x:v>46</x:v>
      </x:c>
      <x:c r="B2" s="12"/>
      <x:c r="C2" s="12"/>
      <x:c r="D2" s="12"/>
      <x:c r="E2" s="12"/>
    </x:row>
    <x:row r="3">
      <x:c r="A3" s="2"/>
      <x:c r="B3" s="2"/>
      <x:c r="C3" s="2"/>
      <x:c r="D3" s="2"/>
      <x:c r="E3" s="2"/>
    </x:row>
    <x:row r="4">
      <x:c r="A4" s="3" t="s">
        <x:v>47</x:v>
      </x:c>
      <x:c r="B4" s="2"/>
      <x:c r="C4" s="2" t="str">
        <x:f>IF(OR(C7="要編集",C7="未入力",C8="要編集",C8="未入力",C9="要編集",C9="未入力",C10="要編集",C10="未入力"),"ERROR: 要編集あり","OK")</x:f>
        <x:v>ERROR: 要編集あり</x:v>
      </x:c>
      <x:c r="D4" s="2"/>
      <x:c r="E4" s="2"/>
    </x:row>
    <x:row r="5">
      <x:c r="A5" s="2"/>
      <x:c r="B5" s="2"/>
      <x:c r="C5" s="2"/>
      <x:c r="D5" s="2"/>
      <x:c r="E5" s="2"/>
    </x:row>
    <x:row r="6" ht="20" customHeight="1">
      <x:c r="A6" s="1" t="s">
        <x:v>48</x:v>
      </x:c>
      <x:c r="B6" s="1" t="s">
        <x:v>49</x:v>
      </x:c>
      <x:c r="C6" s="1" t="s">
        <x:v>50</x:v>
      </x:c>
      <x:c r="D6" s="1" t="s">
        <x:v>51</x:v>
      </x:c>
      <x:c r="E6" s="1" t="s">
        <x:v>52</x:v>
      </x:c>
    </x:row>
    <x:row r="7" ht="29.399999618530273" customHeight="1">
      <x:c r="A7" s="2" t="s">
        <x:v>53</x:v>
      </x:c>
      <x:c r="B7" s="4" t="s">
        <x:v>54</x:v>
      </x:c>
      <x:c r="C7" s="2" t="str">
        <x:f>IF(B7="","未入力",IF(B7="研究者WEBサイトテンプレート","要編集","OK"))</x:f>
        <x:v>要編集</x:v>
      </x:c>
      <x:c r="D7" s="2" t="s">
        <x:v>55</x:v>
      </x:c>
      <x:c r="E7" s="2" t="s">
        <x:v>56</x:v>
      </x:c>
    </x:row>
    <x:row r="8" ht="29.399999618530273" customHeight="1">
      <x:c r="A8" s="2" t="s">
        <x:v>57</x:v>
      </x:c>
      <x:c r="B8" s="4" t="s">
        <x:v>54</x:v>
      </x:c>
      <x:c r="C8" s="2" t="str">
        <x:f>IF(B8="","未入力",IF(B8="研究者WEBサイトテンプレート","要編集","OK"))</x:f>
        <x:v>要編集</x:v>
      </x:c>
      <x:c r="D8" s="2" t="s">
        <x:v>58</x:v>
      </x:c>
      <x:c r="E8" s="2" t="s">
        <x:v>59</x:v>
      </x:c>
    </x:row>
    <x:row r="9" ht="29.399999618530273" customHeight="1">
      <x:c r="A9" s="2" t="s">
        <x:v>60</x:v>
      </x:c>
      <x:c r="B9" s="4" t="s">
        <x:v>61</x:v>
      </x:c>
      <x:c r="C9" s="2" t="str">
        <x:f>IF(B9="","未入力",IF(B9="コミュニケーションデザインラボ - 佐藤研究室","要編集","OK"))</x:f>
        <x:v>要編集</x:v>
      </x:c>
      <x:c r="D9" s="2" t="s">
        <x:v>62</x:v>
      </x:c>
      <x:c r="E9" s="2"/>
    </x:row>
    <x:row r="10" ht="29.399999618530273" customHeight="1">
      <x:c r="A10" s="2" t="s">
        <x:v>63</x:v>
      </x:c>
      <x:c r="B10" s="4" t="s">
        <x:v>64</x:v>
      </x:c>
      <x:c r="C10" s="2" t="str">
        <x:f>IF(B10="","未入力",IF(B10="Communication Design Laboratory","要編集","OK"))</x:f>
        <x:v>要編集</x:v>
      </x:c>
      <x:c r="D10" s="2" t="s">
        <x:v>65</x:v>
      </x:c>
      <x:c r="E10" s="2"/>
    </x:row>
  </x:sheetData>
  <x:mergeCells>
    <x:mergeCell ref="A1:E1"/>
    <x:mergeCell ref="A2:E2"/>
  </x:mergeCells>
  <x:conditionalFormatting sqref="C4:C4">
    <x:cfRule type="expression" dxfId="65" priority="4">
      <x:formula>OR(A1="要編集",A1="未入力",LEFT(A1,5)="ERROR")</x:formula>
    </x:cfRule>
    <x:cfRule type="expression" dxfId="64" priority="5">
      <x:formula>A1="OK"</x:formula>
    </x:cfRule>
    <x:cfRule type="expression" dxfId="63" priority="6">
      <x:formula>A1="削除予定"</x:formula>
    </x:cfRule>
  </x:conditionalFormatting>
  <x:conditionalFormatting sqref="C7:C10">
    <x:cfRule type="expression" dxfId="62" priority="1">
      <x:formula>OR(A1="要編集",A1="未入力",LEFT(A1,5)="ERROR")</x:formula>
    </x:cfRule>
    <x:cfRule type="expression" dxfId="61" priority="2">
      <x:formula>A1="OK"</x:formula>
    </x:cfRule>
    <x:cfRule type="expression" dxfId="60" priority="3">
      <x:formula>A1="削除予定"</x:formula>
    </x:cfRule>
  </x:conditionalFormatting>
  <x:pageMargins left="0.7" right="0.7" top="0.75" bottom="0.75" header="0.3" footer="0.3"/>
</x:worksheet>
</file>

<file path=xl/worksheets/sheet3.xml><?xml version="1.0" encoding="utf-8"?>
<x:worksheet xmlns:x="http://schemas.openxmlformats.org/spreadsheetml/2006/main">
  <x:sheetFormatPr defaultRowHeight="14"/>
  <x:cols>
    <x:col min="1" max="1" width="8" customWidth="1"/>
    <x:col min="2" max="2" width="16" customWidth="1"/>
    <x:col min="3" max="3" width="72" customWidth="1"/>
    <x:col min="4" max="4" width="42" customWidth="1"/>
    <x:col min="5" max="5" width="16" customWidth="1"/>
  </x:cols>
  <x:sheetData>
    <x:row r="1" ht="20" customHeight="1">
      <x:c r="A1" s="8" t="s">
        <x:v>66</x:v>
      </x:c>
      <x:c r="B1" s="8"/>
      <x:c r="C1" s="8"/>
      <x:c r="D1" s="8"/>
      <x:c r="E1" s="8"/>
    </x:row>
    <x:row r="2" ht="18.649999618530273" customHeight="1">
      <x:c r="A2" s="3" t="s">
        <x:v>67</x:v>
      </x:c>
      <x:c r="B2" s="4" t="s">
        <x:v>68</x:v>
      </x:c>
      <x:c r="C2" s="9" t="s">
        <x:v>69</x:v>
      </x:c>
      <x:c r="D2" s="9"/>
      <x:c r="E2" s="9"/>
    </x:row>
    <x:row r="3" ht="18.649999618530273" customHeight="1">
      <x:c r="A3" s="3" t="s">
        <x:v>70</x:v>
      </x:c>
      <x:c r="B3" s="4" t="s">
        <x:v>14</x:v>
      </x:c>
      <x:c r="C3" s="9" t="s">
        <x:v>71</x:v>
      </x:c>
      <x:c r="D3" s="9"/>
      <x:c r="E3" s="9"/>
    </x:row>
    <x:row r="4">
      <x:c r="A4" s="2"/>
      <x:c r="B4" s="2"/>
      <x:c r="C4" s="2"/>
      <x:c r="D4" s="2"/>
      <x:c r="E4" s="2"/>
    </x:row>
    <x:row r="5" ht="26">
      <x:c r="A5" s="3" t="s">
        <x:v>47</x:v>
      </x:c>
      <x:c r="B5" s="2"/>
      <x:c r="C5" s="2" t="str">
        <x:f>IF(B2="いいえ","削除予定",IF(COUNTIF(E10:E21,"要編集")+COUNTIF(E10:E21,"未入力")&gt;0,"ERROR: 要編集あり","OK"))</x:f>
        <x:v>ERROR: 要編集あり</x:v>
      </x:c>
      <x:c r="D5" s="2"/>
      <x:c r="E5" s="2"/>
    </x:row>
    <x:row r="6">
      <x:c r="A6" s="2"/>
      <x:c r="B6" s="2"/>
      <x:c r="C6" s="2"/>
      <x:c r="D6" s="2"/>
      <x:c r="E6" s="2"/>
    </x:row>
    <x:row r="7" ht="32" customHeight="1">
      <x:c r="A7" s="10" t="s">
        <x:v>72</x:v>
      </x:c>
      <x:c r="B7" s="10"/>
      <x:c r="C7" s="10"/>
      <x:c r="D7" s="10"/>
      <x:c r="E7" s="10"/>
    </x:row>
    <x:row r="8">
      <x:c r="A8" s="2"/>
      <x:c r="B8" s="2"/>
      <x:c r="C8" s="2"/>
      <x:c r="D8" s="2"/>
      <x:c r="E8" s="2"/>
    </x:row>
    <x:row r="9" ht="20" customHeight="1">
      <x:c r="A9" s="1" t="s">
        <x:v>3</x:v>
      </x:c>
      <x:c r="B9" s="1" t="s">
        <x:v>73</x:v>
      </x:c>
      <x:c r="C9" s="1" t="s">
        <x:v>74</x:v>
      </x:c>
      <x:c r="D9" s="1" t="s">
        <x:v>75</x:v>
      </x:c>
      <x:c r="E9" s="1" t="s">
        <x:v>50</x:v>
      </x:c>
    </x:row>
    <x:row r="10" ht="32" customHeight="1">
      <x:c r="A10" s="2">
        <x:v>1</x:v>
      </x:c>
      <x:c r="B10" s="4" t="s">
        <x:v>76</x:v>
      </x:c>
      <x:c r="C10" s="4" t="s">
        <x:v>77</x:v>
      </x:c>
      <x:c r="D10" s="4"/>
      <x:c r="E10" s="2" t="str">
        <x:f>IF($B$2="いいえ","削除予定",IF(AND(B10="",C10="",D10=""),"削除予定",IF(AND(B10="2023.10.05",C10="[学年]の[研究室のメンバーの名前]君が[学会の名前]で[賞の名前]を受賞しました。"),"要編集",IF(OR(B10="",C10=""),"未入力","OK"))))</x:f>
        <x:v>要編集</x:v>
      </x:c>
    </x:row>
    <x:row r="11" ht="32" customHeight="1">
      <x:c r="A11" s="2">
        <x:v>2</x:v>
      </x:c>
      <x:c r="B11" s="4" t="s">
        <x:v>76</x:v>
      </x:c>
      <x:c r="C11" s="4" t="s">
        <x:v>78</x:v>
      </x:c>
      <x:c r="D11" s="4"/>
      <x:c r="E11" s="2" t="str">
        <x:f>IF($B$2="いいえ","削除予定",IF(AND(B11="",C11="",D11=""),"削除予定",IF(AND(B11="2023.10.05",C11="[研究室名]では新しい研究プロジェクトを開始しました。このプロジェクトでは[研究のテーマや目的]に焦点を当てています。"),"要編集",IF(OR(B11="",C11=""),"未入力","OK"))))</x:f>
        <x:v>要編集</x:v>
      </x:c>
    </x:row>
    <x:row r="12" ht="32" customHeight="1">
      <x:c r="A12" s="2">
        <x:v>3</x:v>
      </x:c>
      <x:c r="B12" s="4" t="s">
        <x:v>76</x:v>
      </x:c>
      <x:c r="C12" s="4" t="s">
        <x:v>79</x:v>
      </x:c>
      <x:c r="D12" s="4"/>
      <x:c r="E12" s="2" t="str">
        <x:f>IF($B$2="いいえ","削除予定",IF(AND(B12="",C12="",D12=""),"削除予定",IF(AND(B12="2023.10.05",C12="新しい論文が[学術雑誌の名前]に掲載されました。この論文では[論文の主題や重要な発見]について論じています。"),"要編集",IF(OR(B12="",C12=""),"未入力","OK"))))</x:f>
        <x:v>要編集</x:v>
      </x:c>
    </x:row>
    <x:row r="13" ht="32" customHeight="1">
      <x:c r="A13" s="2">
        <x:v>4</x:v>
      </x:c>
      <x:c r="B13" s="4" t="s">
        <x:v>76</x:v>
      </x:c>
      <x:c r="C13" s="4" t="s">
        <x:v>80</x:v>
      </x:c>
      <x:c r="D13" s="4"/>
      <x:c r="E13" s="2" t="str">
        <x:f>IF($B$2="いいえ","削除予定",IF(AND(B13="",C13="",D13=""),"削除予定",IF(AND(B13="2023.10.05",C13="当研究室は[研究テーマ]に関する共同研究を[他の研究機関や企業の名前]と開始しました。この共同研究により[期待される成果や目的]を目指します。"),"要編集",IF(OR(B13="",C13=""),"未入力","OK"))))</x:f>
        <x:v>要編集</x:v>
      </x:c>
    </x:row>
    <x:row r="14" ht="32" customHeight="1">
      <x:c r="A14" s="2">
        <x:v>5</x:v>
      </x:c>
      <x:c r="B14" s="4" t="s">
        <x:v>76</x:v>
      </x:c>
      <x:c r="C14" s="4" t="s">
        <x:v>81</x:v>
      </x:c>
      <x:c r="D14" s="4"/>
      <x:c r="E14" s="2" t="str">
        <x:f>IF($B$2="いいえ","削除予定",IF(AND(B14="",C14="",D14=""),"削除予定",IF(AND(B14="2023.10.05",C14="[学年]の[メンバーの名前]君が[学会の名前]において[講演の主題]というテーマで基調講演を行いました。"),"要編集",IF(OR(B14="",C14=""),"未入力","OK"))))</x:f>
        <x:v>要編集</x:v>
      </x:c>
    </x:row>
    <x:row r="15" ht="21.399999618530273" customHeight="1">
      <x:c r="A15" s="2">
        <x:v>6</x:v>
      </x:c>
      <x:c r="B15" s="4"/>
      <x:c r="C15" s="4"/>
      <x:c r="D15" s="4"/>
      <x:c r="E15" s="2" t="str">
        <x:f t="shared" ref="E15:E21" si="0">IF($B$2="いいえ","削除予定",IF(AND(B15="",C15="",D15=""),"削除予定",IF(OR(B15="",C15=""),"未入力","OK")))</x:f>
        <x:v>削除予定</x:v>
      </x:c>
    </x:row>
    <x:row r="16" ht="21.399999618530273" customHeight="1">
      <x:c r="A16" s="2">
        <x:v>7</x:v>
      </x:c>
      <x:c r="B16" s="4"/>
      <x:c r="C16" s="4"/>
      <x:c r="D16" s="4"/>
      <x:c r="E16" s="2" t="str">
        <x:f t="shared" si="0"/>
        <x:v>削除予定</x:v>
      </x:c>
    </x:row>
    <x:row r="17" ht="21.399999618530273" customHeight="1">
      <x:c r="A17" s="2">
        <x:v>8</x:v>
      </x:c>
      <x:c r="B17" s="4"/>
      <x:c r="C17" s="4"/>
      <x:c r="D17" s="4"/>
      <x:c r="E17" s="2" t="str">
        <x:f t="shared" si="0"/>
        <x:v>削除予定</x:v>
      </x:c>
    </x:row>
    <x:row r="18" ht="21.399999618530273" customHeight="1">
      <x:c r="A18" s="2">
        <x:v>9</x:v>
      </x:c>
      <x:c r="B18" s="4"/>
      <x:c r="C18" s="4"/>
      <x:c r="D18" s="4"/>
      <x:c r="E18" s="2" t="str">
        <x:f t="shared" si="0"/>
        <x:v>削除予定</x:v>
      </x:c>
    </x:row>
    <x:row r="19" ht="21.399999618530273" customHeight="1">
      <x:c r="A19" s="2">
        <x:v>10</x:v>
      </x:c>
      <x:c r="B19" s="4"/>
      <x:c r="C19" s="4"/>
      <x:c r="D19" s="4"/>
      <x:c r="E19" s="2" t="str">
        <x:f t="shared" si="0"/>
        <x:v>削除予定</x:v>
      </x:c>
    </x:row>
    <x:row r="20" ht="21.399999618530273" customHeight="1">
      <x:c r="A20" s="2">
        <x:v>11</x:v>
      </x:c>
      <x:c r="B20" s="4"/>
      <x:c r="C20" s="4"/>
      <x:c r="D20" s="4"/>
      <x:c r="E20" s="2" t="str">
        <x:f t="shared" si="0"/>
        <x:v>削除予定</x:v>
      </x:c>
    </x:row>
    <x:row r="21" ht="21.399999618530273" customHeight="1">
      <x:c r="A21" s="2">
        <x:v>12</x:v>
      </x:c>
      <x:c r="B21" s="4"/>
      <x:c r="C21" s="4"/>
      <x:c r="D21" s="4"/>
      <x:c r="E21" s="2" t="str">
        <x:f t="shared" si="0"/>
        <x:v>削除予定</x:v>
      </x:c>
    </x:row>
  </x:sheetData>
  <x:mergeCells>
    <x:mergeCell ref="A1:E1"/>
    <x:mergeCell ref="C2:E2"/>
    <x:mergeCell ref="C3:E3"/>
    <x:mergeCell ref="A7:E7"/>
  </x:mergeCells>
  <x:conditionalFormatting sqref="C5:C5">
    <x:cfRule type="expression" dxfId="59" priority="4">
      <x:formula>OR(A1="要編集",A1="未入力",LEFT(A1,5)="ERROR")</x:formula>
    </x:cfRule>
    <x:cfRule type="expression" dxfId="58" priority="5">
      <x:formula>A1="OK"</x:formula>
    </x:cfRule>
    <x:cfRule type="expression" dxfId="57" priority="6">
      <x:formula>A1="削除予定"</x:formula>
    </x:cfRule>
  </x:conditionalFormatting>
  <x:conditionalFormatting sqref="E10:E21">
    <x:cfRule type="expression" dxfId="56" priority="1">
      <x:formula>OR(A1="要編集",A1="未入力",LEFT(A1,5)="ERROR")</x:formula>
    </x:cfRule>
    <x:cfRule type="expression" dxfId="55" priority="2">
      <x:formula>A1="OK"</x:formula>
    </x:cfRule>
    <x:cfRule type="expression" dxfId="54" priority="3">
      <x:formula>A1="削除予定"</x:formula>
    </x:cfRule>
  </x:conditionalFormatting>
  <x:dataValidations count="1">
    <x:dataValidation type="list" sqref="B2">
      <x:formula1>"はい,いいえ"</x:formula1>
    </x:dataValidation>
  </x:dataValidations>
  <x:pageMargins left="0.7" right="0.7" top="0.75" bottom="0.75" header="0.3" footer="0.3"/>
</x:worksheet>
</file>

<file path=xl/worksheets/sheet4.xml><?xml version="1.0" encoding="utf-8"?>
<x:worksheet xmlns:x="http://schemas.openxmlformats.org/spreadsheetml/2006/main">
  <x:sheetFormatPr defaultRowHeight="14"/>
  <x:cols>
    <x:col min="1" max="1" width="8" hidden="0" customWidth="1"/>
    <x:col min="2" max="2" width="34" hidden="0" customWidth="1"/>
    <x:col min="3" max="4" width="66" customWidth="1"/>
    <x:col min="5" max="5" width="17" hidden="0" customWidth="1"/>
    <x:col min="3" max="3" width="48" hidden="0" customWidth="1"/>
    <x:col min="4" max="4" width="48" hidden="0" customWidth="1"/>
    <x:col min="6" max="6" width="28" hidden="0" customWidth="1"/>
    <x:col min="7" max="7" width="36" hidden="0" customWidth="1"/>
    <x:col min="8" max="8" width="16" hidden="0" customWidth="1"/>
  </x:cols>
  <x:sheetData>
    <x:row r="1" ht="20" customHeight="1">
      <x:c r="A1" s="8" t="s">
        <x:v>82</x:v>
      </x:c>
      <x:c r="B1" s="8"/>
      <x:c r="C1" s="8"/>
      <x:c r="D1" s="8"/>
      <x:c r="E1" s="8"/>
    </x:row>
    <x:row r="2" ht="18.649999618530273" customHeight="1">
      <x:c r="A2" s="3" t="s">
        <x:v>67</x:v>
      </x:c>
      <x:c r="B2" s="4" t="s">
        <x:v>68</x:v>
      </x:c>
      <x:c r="C2" s="9" t="s">
        <x:v>69</x:v>
      </x:c>
      <x:c r="D2" s="9"/>
      <x:c r="E2" s="9"/>
    </x:row>
    <x:row r="3" ht="18.649999618530273" customHeight="1">
      <x:c r="A3" s="3" t="s">
        <x:v>70</x:v>
      </x:c>
      <x:c r="B3" s="4" t="s">
        <x:v>18</x:v>
      </x:c>
      <x:c r="C3" s="9" t="s">
        <x:v>71</x:v>
      </x:c>
      <x:c r="D3" s="9"/>
      <x:c r="E3" s="9"/>
    </x:row>
    <x:row r="4">
      <x:c r="A4" s="2"/>
      <x:c r="B4" s="2"/>
      <x:c r="C4" s="2"/>
      <x:c r="D4" s="2"/>
      <x:c r="E4" s="2"/>
    </x:row>
    <x:row r="5" ht="26">
      <x:c r="A5" s="3" t="s">
        <x:v>47</x:v>
      </x:c>
      <x:c r="B5" s="2"/>
      <x:c r="C5" s="2" t="str">
        <x:f>IF(B2="いいえ","削除予定",IF(COUNTIF(H10:H17,"要編集")+COUNTIF(H10:H17,"未入力")&gt;0,"ERROR: 要編集あり","OK"))</x:f>
        <x:v>ERROR: 要編集あり</x:v>
      </x:c>
      <x:c r="D5" s="2"/>
      <x:c r="E5" s="2"/>
    </x:row>
    <x:row r="6">
      <x:c r="A6" s="2"/>
      <x:c r="B6" s="2"/>
      <x:c r="C6" s="2"/>
      <x:c r="D6" s="2"/>
      <x:c r="E6" s="2"/>
    </x:row>
    <x:row r="7" ht="62" customHeight="1">
      <x:c r="A7" s="10" t="str">
        <x:v>本文①は画像の上、本文②は画像の下に表示する文章です。画像を文章の途中に置くときだけ①と②を分けて使います。画像を使う場合は「画像を使用する」を「はい」にし、input/images/ に置いた画像のファイル名と画像の説明を入力してください。画像を使わない場合は「いいえ」のままで構いません。</x:v>
      </x:c>
      <x:c r="B7" s="10"/>
      <x:c r="C7" s="10"/>
      <x:c r="D7" s="10"/>
      <x:c r="E7" s="10"/>
    </x:row>
    <x:row r="8">
      <x:c r="A8" s="2"/>
      <x:c r="B8" s="2"/>
      <x:c r="C8" s="2"/>
      <x:c r="D8" s="2"/>
      <x:c r="E8" s="2"/>
    </x:row>
    <x:row r="9" ht="34" customHeight="1">
      <x:c r="A9" s="35" t="str">
        <x:v>No.</x:v>
      </x:c>
      <x:c r="B9" s="35" t="str">
        <x:v>見出し</x:v>
      </x:c>
      <x:c r="C9" s="35" t="str">
        <x:v>本文①（画像の上）</x:v>
      </x:c>
      <x:c r="D9" s="35" t="str">
        <x:v>本文②（画像の下）</x:v>
      </x:c>
      <x:c r="E9" s="35" t="str">
        <x:v>画像を使用する</x:v>
      </x:c>
      <x:c r="F9" s="36" t="str">
        <x:v>画像ファイル名</x:v>
      </x:c>
      <x:c r="G9" s="36" t="str">
        <x:v>画像の説明（alt）</x:v>
      </x:c>
      <x:c r="H9" s="36" t="str">
        <x:v>判定</x:v>
      </x:c>
    </x:row>
    <x:row r="10" ht="58" customHeight="1">
      <x:c r="A10" s="2">
        <x:v>1</x:v>
      </x:c>
      <x:c r="B10" s="44" t="s">
        <x:v>83</x:v>
      </x:c>
      <x:c r="C10" s="44" t="s">
        <x:v>84</x:v>
      </x:c>
      <x:c r="D10" s="44" t="s">
        <x:v>85</x:v>
      </x:c>
      <x:c r="E10" s="44" t="str">
        <x:v>いいえ</x:v>
      </x:c>
      <x:c r="F10" s="47" t="str"/>
      <x:c r="G10" s="47" t="str"/>
      <x:c r="H10" s="52" t="str">
        <x:f>IF($B$2="いいえ","削除予定",IF(AND(B10="",C10="",D10=""),"削除予定",IF(AND(B10="人工知能における機械学習アルゴリズムの最適化",C10="当研究では、機械学習アルゴリズムの精度と効率を向上させる方法を探求しています。特に、データの前処理、特徴選択、モデル構築の各ステップでの最新の技術を組み合わせることに重点を置いています。",D10="この研究により、さまざまな分野での応用が可能なより高度な人工知能システムの開発を目指しています。例えば、医療診断、金融市場分析、自動運転車の技術など、社会に大きな影響を与える分野に貢献することを期待しています。"),"要編集",IF(OR(B10="",AND(C10="",D10="")),"未入力",IF(AND(E10="はい",OR(F10="",G10="")),"未入力","OK")))))</x:f>
        <x:v>要編集</x:v>
      </x:c>
    </x:row>
    <x:row r="11" ht="58" customHeight="1">
      <x:c r="A11" s="2">
        <x:v>2</x:v>
      </x:c>
      <x:c r="B11" s="44" t="s">
        <x:v>86</x:v>
      </x:c>
      <x:c r="C11" s="44" t="s">
        <x:v>87</x:v>
      </x:c>
      <x:c r="D11" s="44"/>
      <x:c r="E11" s="44" t="str">
        <x:v>いいえ</x:v>
      </x:c>
      <x:c r="F11" s="47" t="str"/>
      <x:c r="G11" s="47" t="str"/>
      <x:c r="H11" s="52" t="str">
        <x:f>IF($B$2="いいえ","削除予定",IF(AND(B11="",C11="",D11=""),"削除予定",IF(AND(B11="再生可能エネルギー源の開発と利用",C11="本研究では、太陽光、風力、地熱などの再生可能エネルギー源の効率的な活用方法を探求しています。これには、エネルギー変換の効率向上やコスト削減の技術開発が含まれます。 また、再生可能エネルギーの普及を促進するための社会的、経済的な戦略についても研究しています。持続可能なエネルギーシステムの構築に向けて、政策提言や公共啓発活動にも力を入れています。",D11=""),"要編集",IF(OR(B11="",AND(C11="",D11="")),"未入力",IF(AND(E11="はい",OR(F11="",G11="")),"未入力","OK")))))</x:f>
        <x:v>要編集</x:v>
      </x:c>
    </x:row>
    <x:row r="12" ht="58" customHeight="1">
      <x:c r="A12" s="2">
        <x:v>3</x:v>
      </x:c>
      <x:c r="B12" s="44" t="s">
        <x:v>88</x:v>
      </x:c>
      <x:c r="C12" s="44" t="s">
        <x:v>89</x:v>
      </x:c>
      <x:c r="D12" s="44"/>
      <x:c r="E12" s="44" t="str">
        <x:v>いいえ</x:v>
      </x:c>
      <x:c r="F12" s="47" t="str"/>
      <x:c r="G12" s="47" t="str"/>
      <x:c r="H12" s="52" t="str">
        <x:f>IF($B$2="いいえ","削除予定",IF(AND(B12="",C12="",D12=""),"削除予定",IF(AND(B12="ヒトの健康と疾患に関するバイオテクノロジーの応用",C12="当研究室では、遺伝子編集技術や幹細胞療法など、最先端のバイオテクノロジーを用いた疾患治療法の開発に取り組んでいます。特に、がんや遺伝性疾患の治療に焦点を当てています。 さらに、これらの治療法の臨床応用に向けて、安全性と効果の評価を行っています。患者のQOL向上に貢献するとともに、新しい医療技術の普及に向けた研究も進めています。",D12=""),"要編集",IF(OR(B12="",AND(C12="",D12="")),"未入力",IF(AND(E12="はい",OR(F12="",G12="")),"未入力","OK")))))</x:f>
        <x:v>要編集</x:v>
      </x:c>
    </x:row>
    <x:row r="13" ht="32" customHeight="1">
      <x:c r="A13" s="2">
        <x:v>4</x:v>
      </x:c>
      <x:c r="B13" s="44"/>
      <x:c r="C13" s="44"/>
      <x:c r="D13" s="44"/>
      <x:c r="E13" s="44" t="str">
        <x:v>いいえ</x:v>
      </x:c>
      <x:c r="F13" s="47" t="str"/>
      <x:c r="G13" s="47" t="str"/>
      <x:c r="H13" s="52" t="str">
        <x:f>IF($B$2="いいえ","削除予定",IF(AND(B13="",C13="",D13=""),"削除予定",IF(OR(B13="",AND(C13="",D13="")),"未入力",IF(AND(E13="はい",OR(F13="",G13="")),"未入力","OK"))))</x:f>
        <x:v>削除予定</x:v>
      </x:c>
    </x:row>
    <x:row r="14" ht="32" customHeight="1">
      <x:c r="A14" s="2">
        <x:v>5</x:v>
      </x:c>
      <x:c r="B14" s="44"/>
      <x:c r="C14" s="44"/>
      <x:c r="D14" s="44"/>
      <x:c r="E14" s="44" t="str">
        <x:v>いいえ</x:v>
      </x:c>
      <x:c r="F14" s="47" t="str"/>
      <x:c r="G14" s="47" t="str"/>
      <x:c r="H14" s="52" t="str">
        <x:f>IF($B$2="いいえ","削除予定",IF(AND(B14="",C14="",D14=""),"削除予定",IF(OR(B14="",AND(C14="",D14="")),"未入力",IF(AND(E14="はい",OR(F14="",G14="")),"未入力","OK"))))</x:f>
        <x:v>削除予定</x:v>
      </x:c>
    </x:row>
    <x:row r="15" ht="32" customHeight="1">
      <x:c r="A15" s="2">
        <x:v>6</x:v>
      </x:c>
      <x:c r="B15" s="44"/>
      <x:c r="C15" s="44"/>
      <x:c r="D15" s="44"/>
      <x:c r="E15" s="44" t="str">
        <x:v>いいえ</x:v>
      </x:c>
      <x:c r="F15" s="47" t="str"/>
      <x:c r="G15" s="47" t="str"/>
      <x:c r="H15" s="52" t="str">
        <x:f>IF($B$2="いいえ","削除予定",IF(AND(B15="",C15="",D15=""),"削除予定",IF(OR(B15="",AND(C15="",D15="")),"未入力",IF(AND(E15="はい",OR(F15="",G15="")),"未入力","OK"))))</x:f>
        <x:v>削除予定</x:v>
      </x:c>
    </x:row>
    <x:row r="16" ht="32" customHeight="1">
      <x:c r="A16" s="2">
        <x:v>7</x:v>
      </x:c>
      <x:c r="B16" s="44"/>
      <x:c r="C16" s="44"/>
      <x:c r="D16" s="44"/>
      <x:c r="E16" s="44" t="str">
        <x:v>いいえ</x:v>
      </x:c>
      <x:c r="F16" s="47" t="str"/>
      <x:c r="G16" s="47" t="str"/>
      <x:c r="H16" s="52" t="str">
        <x:f>IF($B$2="いいえ","削除予定",IF(AND(B16="",C16="",D16=""),"削除予定",IF(OR(B16="",AND(C16="",D16="")),"未入力",IF(AND(E16="はい",OR(F16="",G16="")),"未入力","OK"))))</x:f>
        <x:v>削除予定</x:v>
      </x:c>
    </x:row>
    <x:row r="17" ht="32" customHeight="1">
      <x:c r="A17" s="2">
        <x:v>8</x:v>
      </x:c>
      <x:c r="B17" s="44"/>
      <x:c r="C17" s="44"/>
      <x:c r="D17" s="44"/>
      <x:c r="E17" s="44" t="str">
        <x:v>いいえ</x:v>
      </x:c>
      <x:c r="F17" s="47" t="str"/>
      <x:c r="G17" s="47" t="str"/>
      <x:c r="H17" s="52" t="str">
        <x:f>IF($B$2="いいえ","削除予定",IF(AND(B17="",C17="",D17=""),"削除予定",IF(OR(B17="",AND(C17="",D17="")),"未入力",IF(AND(E17="はい",OR(F17="",G17="")),"未入力","OK"))))</x:f>
        <x:v>削除予定</x:v>
      </x:c>
    </x:row>
  </x:sheetData>
  <x:mergeCells>
    <x:mergeCell ref="A1:H1"/>
    <x:mergeCell ref="C2:H2"/>
    <x:mergeCell ref="C3:H3"/>
    <x:mergeCell ref="A7:H7"/>
  </x:mergeCells>
  <x:conditionalFormatting sqref="C5:C5">
    <x:cfRule type="expression" dxfId="53" priority="4">
      <x:formula>OR(A1="要編集",A1="未入力",LEFT(A1,5)="ERROR")</x:formula>
    </x:cfRule>
    <x:cfRule type="expression" dxfId="52" priority="5">
      <x:formula>A1="OK"</x:formula>
    </x:cfRule>
    <x:cfRule type="expression" dxfId="51" priority="6">
      <x:formula>A1="削除予定"</x:formula>
    </x:cfRule>
  </x:conditionalFormatting>
  <x:conditionalFormatting sqref="E10:E17">
    <x:cfRule type="expression" dxfId="50" priority="1">
      <x:formula>OR(A1="要編集",A1="未入力",LEFT(A1,5)="ERROR")</x:formula>
    </x:cfRule>
    <x:cfRule type="expression" dxfId="49" priority="2">
      <x:formula>A1="OK"</x:formula>
    </x:cfRule>
    <x:cfRule type="expression" dxfId="48" priority="3">
      <x:formula>A1="削除予定"</x:formula>
    </x:cfRule>
  </x:conditionalFormatting>
  <x:conditionalFormatting sqref="H10:H17">
    <x:cfRule type="expression" dxfId="71" priority="7">
      <x:formula>OR(H10="要編集",H10="未入力")</x:formula>
    </x:cfRule>
    <x:cfRule type="expression" dxfId="72" priority="8">
      <x:formula>H10="OK"</x:formula>
    </x:cfRule>
    <x:cfRule type="expression" dxfId="73" priority="9">
      <x:formula>H10="削除予定"</x:formula>
    </x:cfRule>
  </x:conditionalFormatting>
  <x:dataValidations count="2">
    <x:dataValidation type="list" sqref="B2">
      <x:formula1>"はい,いいえ"</x:formula1>
    </x:dataValidation>
    <x:dataValidation type="list" sqref="E10:E17">
      <x:formula1>"はい,いいえ"</x:formula1>
    </x:dataValidation>
  </x:dataValidations>
  <x:pageMargins left="0.7" right="0.7" top="0.75" bottom="0.75" header="0.3" footer="0.3"/>
</x:worksheet>
</file>

<file path=xl/worksheets/sheet5.xml><?xml version="1.0" encoding="utf-8"?>
<x:worksheet xmlns:x="http://schemas.openxmlformats.org/spreadsheetml/2006/main">
  <x:sheetFormatPr defaultRowHeight="14"/>
  <x:cols>
    <x:col min="1" max="1" width="8" customWidth="1"/>
    <x:col min="2" max="2" width="44" customWidth="1"/>
    <x:col min="3" max="3" width="86" customWidth="1"/>
    <x:col min="4" max="4" width="16" customWidth="1"/>
  </x:cols>
  <x:sheetData>
    <x:row r="1" ht="20" customHeight="1">
      <x:c r="A1" s="8" t="s">
        <x:v>90</x:v>
      </x:c>
      <x:c r="B1" s="8"/>
      <x:c r="C1" s="8"/>
      <x:c r="D1" s="8"/>
    </x:row>
    <x:row r="2" ht="18.649999618530273" customHeight="1">
      <x:c r="A2" s="3" t="s">
        <x:v>67</x:v>
      </x:c>
      <x:c r="B2" s="4" t="s">
        <x:v>68</x:v>
      </x:c>
      <x:c r="C2" s="9" t="s">
        <x:v>69</x:v>
      </x:c>
      <x:c r="D2" s="9"/>
    </x:row>
    <x:row r="3" ht="18.649999618530273" customHeight="1">
      <x:c r="A3" s="3" t="s">
        <x:v>70</x:v>
      </x:c>
      <x:c r="B3" s="4" t="s">
        <x:v>22</x:v>
      </x:c>
      <x:c r="C3" s="9" t="s">
        <x:v>71</x:v>
      </x:c>
      <x:c r="D3" s="9"/>
    </x:row>
    <x:row r="4">
      <x:c r="A4" s="2"/>
      <x:c r="B4" s="2"/>
      <x:c r="C4" s="2"/>
      <x:c r="D4" s="2"/>
    </x:row>
    <x:row r="5" ht="26">
      <x:c r="A5" s="3" t="s">
        <x:v>47</x:v>
      </x:c>
      <x:c r="B5" s="2"/>
      <x:c r="C5" s="2" t="str">
        <x:f>IF(B2="いいえ","削除予定",IF(COUNTIF(D10:D15,"要編集")+COUNTIF(D10:D15,"未入力")&gt;0,"ERROR: 要編集あり","OK"))</x:f>
        <x:v>ERROR: 要編集あり</x:v>
      </x:c>
      <x:c r="D5" s="2"/>
    </x:row>
    <x:row r="6">
      <x:c r="A6" s="2"/>
      <x:c r="B6" s="2"/>
      <x:c r="C6" s="2"/>
      <x:c r="D6" s="2"/>
    </x:row>
    <x:row r="7" ht="32" customHeight="1">
      <x:c r="A7" s="10" t="s">
        <x:v>91</x:v>
      </x:c>
      <x:c r="B7" s="10"/>
      <x:c r="C7" s="10"/>
      <x:c r="D7" s="10"/>
    </x:row>
    <x:row r="8">
      <x:c r="A8" s="2"/>
      <x:c r="B8" s="2"/>
      <x:c r="C8" s="2"/>
      <x:c r="D8" s="2"/>
    </x:row>
    <x:row r="9" ht="20" customHeight="1">
      <x:c r="A9" s="1" t="s">
        <x:v>3</x:v>
      </x:c>
      <x:c r="B9" s="1" t="s">
        <x:v>92</x:v>
      </x:c>
      <x:c r="C9" s="1" t="s">
        <x:v>74</x:v>
      </x:c>
      <x:c r="D9" s="1" t="s">
        <x:v>50</x:v>
      </x:c>
    </x:row>
    <x:row r="10" ht="36" customHeight="1">
      <x:c r="A10" s="2">
        <x:v>1</x:v>
      </x:c>
      <x:c r="B10" s="4" t="s">
        <x:v>93</x:v>
      </x:c>
      <x:c r="C10" s="4" t="s">
        <x:v>94</x:v>
      </x:c>
      <x:c r="D10" s="2" t="str">
        <x:f>IF($B$2="いいえ","削除予定",IF(AND(B10="",C10=""),"削除予定",IF(AND(B10="知識の探求と社会への貢献",C10="私たちの研究室は、最先端の科学技術を追求し、その成果を社会に還元することをミッションとしています。学術的な探究心と実社会への応用を通じて、世界に貢献することを目指します。"),"要編集",IF(OR(B10="",C10=""),"未入力","OK"))))</x:f>
        <x:v>要編集</x:v>
      </x:c>
    </x:row>
    <x:row r="11" ht="36" customHeight="1">
      <x:c r="A11" s="2">
        <x:v>2</x:v>
      </x:c>
      <x:c r="B11" s="4" t="s">
        <x:v>95</x:v>
      </x:c>
      <x:c r="C11" s="4" t="s">
        <x:v>96</x:v>
      </x:c>
      <x:c r="D11" s="2" t="str">
        <x:f>IF($B$2="いいえ","削除予定",IF(AND(B11="",C11=""),"削除予定",IF(AND(B11="革新と協力の精神",C11="私たちは、研究の革新を目指し、異なる分野や文化の専門家と積極的に協力することを重視します。多様なアイデアと視点を統合することで、新しい発見とソリューションを生み出すことを目標としています。"),"要編集",IF(OR(B11="",C11=""),"未入力","OK"))))</x:f>
        <x:v>要編集</x:v>
      </x:c>
    </x:row>
    <x:row r="12" ht="22.649999618530273" customHeight="1">
      <x:c r="A12" s="2">
        <x:v>3</x:v>
      </x:c>
      <x:c r="B12" s="4"/>
      <x:c r="C12" s="4"/>
      <x:c r="D12" s="2" t="str">
        <x:f>IF($B$2="いいえ","削除予定",IF(AND(B12="",C12=""),"削除予定",IF(OR(B12="",C12=""),"未入力","OK")))</x:f>
        <x:v>削除予定</x:v>
      </x:c>
    </x:row>
    <x:row r="13" ht="22.649999618530273" customHeight="1">
      <x:c r="A13" s="2">
        <x:v>4</x:v>
      </x:c>
      <x:c r="B13" s="4"/>
      <x:c r="C13" s="4"/>
      <x:c r="D13" s="2" t="str">
        <x:f>IF($B$2="いいえ","削除予定",IF(AND(B13="",C13=""),"削除予定",IF(OR(B13="",C13=""),"未入力","OK")))</x:f>
        <x:v>削除予定</x:v>
      </x:c>
    </x:row>
    <x:row r="14" ht="22.649999618530273" customHeight="1">
      <x:c r="A14" s="2">
        <x:v>5</x:v>
      </x:c>
      <x:c r="B14" s="4"/>
      <x:c r="C14" s="4"/>
      <x:c r="D14" s="2" t="str">
        <x:f>IF($B$2="いいえ","削除予定",IF(AND(B14="",C14=""),"削除予定",IF(OR(B14="",C14=""),"未入力","OK")))</x:f>
        <x:v>削除予定</x:v>
      </x:c>
    </x:row>
    <x:row r="15" ht="22.649999618530273" customHeight="1">
      <x:c r="A15" s="2">
        <x:v>6</x:v>
      </x:c>
      <x:c r="B15" s="4"/>
      <x:c r="C15" s="4"/>
      <x:c r="D15" s="2" t="str">
        <x:f>IF($B$2="いいえ","削除予定",IF(AND(B15="",C15=""),"削除予定",IF(OR(B15="",C15=""),"未入力","OK")))</x:f>
        <x:v>削除予定</x:v>
      </x:c>
    </x:row>
  </x:sheetData>
  <x:mergeCells>
    <x:mergeCell ref="A1:D1"/>
    <x:mergeCell ref="C2:D2"/>
    <x:mergeCell ref="C3:D3"/>
    <x:mergeCell ref="A7:D7"/>
  </x:mergeCells>
  <x:conditionalFormatting sqref="C5:C5">
    <x:cfRule type="expression" dxfId="47" priority="4">
      <x:formula>OR(A1="要編集",A1="未入力",LEFT(A1,5)="ERROR")</x:formula>
    </x:cfRule>
    <x:cfRule type="expression" dxfId="46" priority="5">
      <x:formula>A1="OK"</x:formula>
    </x:cfRule>
    <x:cfRule type="expression" dxfId="45" priority="6">
      <x:formula>A1="削除予定"</x:formula>
    </x:cfRule>
  </x:conditionalFormatting>
  <x:conditionalFormatting sqref="D10:D15">
    <x:cfRule type="expression" dxfId="44" priority="1">
      <x:formula>OR(A1="要編集",A1="未入力",LEFT(A1,5)="ERROR")</x:formula>
    </x:cfRule>
    <x:cfRule type="expression" dxfId="43" priority="2">
      <x:formula>A1="OK"</x:formula>
    </x:cfRule>
    <x:cfRule type="expression" dxfId="42" priority="3">
      <x:formula>A1="削除予定"</x:formula>
    </x:cfRule>
  </x:conditionalFormatting>
  <x:dataValidations count="1">
    <x:dataValidation type="list" sqref="B2">
      <x:formula1>"はい,いいえ"</x:formula1>
    </x:dataValidation>
  </x:dataValidations>
  <x:pageMargins left="0.7" right="0.7" top="0.75" bottom="0.75" header="0.3" footer="0.3"/>
</x:worksheet>
</file>

<file path=xl/worksheets/sheet6.xml><?xml version="1.0" encoding="utf-8"?>
<x:worksheet xmlns:x="http://schemas.openxmlformats.org/spreadsheetml/2006/main">
  <x:sheetFormatPr defaultRowHeight="14"/>
  <x:cols>
    <x:col min="1" max="1" width="8" customWidth="1"/>
    <x:col min="2" max="2" width="25" customWidth="1"/>
    <x:col min="3" max="3" width="18" customWidth="1"/>
    <x:col min="4" max="4" width="68" customWidth="1"/>
    <x:col min="5" max="5" width="16" customWidth="1"/>
  </x:cols>
  <x:sheetData>
    <x:row r="1" ht="20" customHeight="1">
      <x:c r="A1" s="8" t="s">
        <x:v>97</x:v>
      </x:c>
      <x:c r="B1" s="8"/>
      <x:c r="C1" s="8"/>
      <x:c r="D1" s="8"/>
      <x:c r="E1" s="8"/>
    </x:row>
    <x:row r="2" ht="18.649999618530273" customHeight="1">
      <x:c r="A2" s="3" t="s">
        <x:v>67</x:v>
      </x:c>
      <x:c r="B2" s="4" t="s">
        <x:v>68</x:v>
      </x:c>
      <x:c r="C2" s="9" t="s">
        <x:v>69</x:v>
      </x:c>
      <x:c r="D2" s="9"/>
      <x:c r="E2" s="9"/>
    </x:row>
    <x:row r="3" ht="18.649999618530273" customHeight="1">
      <x:c r="A3" s="3" t="s">
        <x:v>70</x:v>
      </x:c>
      <x:c r="B3" s="4" t="s">
        <x:v>26</x:v>
      </x:c>
      <x:c r="C3" s="9" t="s">
        <x:v>71</x:v>
      </x:c>
      <x:c r="D3" s="9"/>
      <x:c r="E3" s="9"/>
    </x:row>
    <x:row r="4">
      <x:c r="A4" s="2"/>
      <x:c r="B4" s="2"/>
      <x:c r="C4" s="2"/>
      <x:c r="D4" s="2"/>
      <x:c r="E4" s="2"/>
    </x:row>
    <x:row r="5" ht="26">
      <x:c r="A5" s="3" t="s">
        <x:v>47</x:v>
      </x:c>
      <x:c r="B5" s="2"/>
      <x:c r="C5" s="2" t="str">
        <x:f>IF(B2="いいえ","削除予定",IF(COUNTIF(E10:E39,"要編集")+COUNTIF(E10:E39,"未入力")&gt;0,"ERROR: 要編集あり","OK"))</x:f>
        <x:v>ERROR: 要編集あり</x:v>
      </x:c>
      <x:c r="D5" s="2"/>
      <x:c r="E5" s="2"/>
    </x:row>
    <x:row r="6">
      <x:c r="A6" s="2"/>
      <x:c r="B6" s="2"/>
      <x:c r="C6" s="2"/>
      <x:c r="D6" s="2"/>
      <x:c r="E6" s="2"/>
    </x:row>
    <x:row r="7" ht="32" customHeight="1">
      <x:c r="A7" s="10" t="s">
        <x:v>98</x:v>
      </x:c>
      <x:c r="B7" s="10"/>
      <x:c r="C7" s="10"/>
      <x:c r="D7" s="10"/>
      <x:c r="E7" s="10"/>
    </x:row>
    <x:row r="8">
      <x:c r="A8" s="2"/>
      <x:c r="B8" s="2"/>
      <x:c r="C8" s="2"/>
      <x:c r="D8" s="2"/>
      <x:c r="E8" s="2"/>
    </x:row>
    <x:row r="9" ht="20" customHeight="1">
      <x:c r="A9" s="1" t="s">
        <x:v>3</x:v>
      </x:c>
      <x:c r="B9" s="1" t="s">
        <x:v>99</x:v>
      </x:c>
      <x:c r="C9" s="1" t="s">
        <x:v>100</x:v>
      </x:c>
      <x:c r="D9" s="1" t="s">
        <x:v>101</x:v>
      </x:c>
      <x:c r="E9" s="1" t="s">
        <x:v>50</x:v>
      </x:c>
    </x:row>
    <x:row r="10" ht="20" customHeight="1">
      <x:c r="A10" s="2">
        <x:v>1</x:v>
      </x:c>
      <x:c r="B10" s="4" t="s">
        <x:v>102</x:v>
      </x:c>
      <x:c r="C10" s="4"/>
      <x:c r="D10" s="4" t="s">
        <x:v>103</x:v>
      </x:c>
      <x:c r="E10" s="2" t="str">
        <x:f>IF($B$2="いいえ","削除予定",IF(AND(B10="",C10="",D10=""),"削除予定",IF(AND(B10="博士後期課程",C10="",D10="佐藤　明子 (3年)"),"要編集",IF(OR(B10="",D10=""),"未入力","OK"))))</x:f>
        <x:v>要編集</x:v>
      </x:c>
    </x:row>
    <x:row r="11" ht="20" customHeight="1">
      <x:c r="A11" s="2">
        <x:v>2</x:v>
      </x:c>
      <x:c r="B11" s="4" t="s">
        <x:v>102</x:v>
      </x:c>
      <x:c r="C11" s="4"/>
      <x:c r="D11" s="4" t="s">
        <x:v>104</x:v>
      </x:c>
      <x:c r="E11" s="2" t="str">
        <x:f>IF($B$2="いいえ","削除予定",IF(AND(B11="",C11="",D11=""),"削除予定",IF(AND(B11="博士後期課程",C11="",D11="田中　健一 (2年)"),"要編集",IF(OR(B11="",D11=""),"未入力","OK"))))</x:f>
        <x:v>要編集</x:v>
      </x:c>
    </x:row>
    <x:row r="12" ht="20" customHeight="1">
      <x:c r="A12" s="2">
        <x:v>3</x:v>
      </x:c>
      <x:c r="B12" s="4" t="s">
        <x:v>102</x:v>
      </x:c>
      <x:c r="C12" s="4"/>
      <x:c r="D12" s="4" t="s">
        <x:v>105</x:v>
      </x:c>
      <x:c r="E12" s="2" t="str">
        <x:f>IF($B$2="いいえ","削除予定",IF(AND(B12="",C12="",D12=""),"削除予定",IF(AND(B12="博士後期課程",C12="",D12="鈴木　雅人 (1年)"),"要編集",IF(OR(B12="",D12=""),"未入力","OK"))))</x:f>
        <x:v>要編集</x:v>
      </x:c>
    </x:row>
    <x:row r="13" ht="20" customHeight="1">
      <x:c r="A13" s="2">
        <x:v>4</x:v>
      </x:c>
      <x:c r="B13" s="4" t="s">
        <x:v>106</x:v>
      </x:c>
      <x:c r="C13" s="4"/>
      <x:c r="D13" s="4" t="s">
        <x:v>107</x:v>
      </x:c>
      <x:c r="E13" s="2" t="str">
        <x:f>IF($B$2="いいえ","削除予定",IF(AND(B13="",C13="",D13=""),"削除予定",IF(AND(B13="博士前期課程",C13="",D13="伊藤　美咲 (2年)"),"要編集",IF(OR(B13="",D13=""),"未入力","OK"))))</x:f>
        <x:v>要編集</x:v>
      </x:c>
    </x:row>
    <x:row r="14" ht="20" customHeight="1">
      <x:c r="A14" s="2">
        <x:v>5</x:v>
      </x:c>
      <x:c r="B14" s="4" t="s">
        <x:v>106</x:v>
      </x:c>
      <x:c r="C14" s="4"/>
      <x:c r="D14" s="4" t="s">
        <x:v>108</x:v>
      </x:c>
      <x:c r="E14" s="2" t="str">
        <x:f>IF($B$2="いいえ","削除予定",IF(AND(B14="",C14="",D14=""),"削除予定",IF(AND(B14="博士前期課程",C14="",D14="中村　拓哉 (1年)"),"要編集",IF(OR(B14="",D14=""),"未入力","OK"))))</x:f>
        <x:v>要編集</x:v>
      </x:c>
    </x:row>
    <x:row r="15" ht="20" customHeight="1">
      <x:c r="A15" s="2">
        <x:v>6</x:v>
      </x:c>
      <x:c r="B15" s="4" t="s">
        <x:v>109</x:v>
      </x:c>
      <x:c r="C15" s="4" t="s">
        <x:v>110</x:v>
      </x:c>
      <x:c r="D15" s="4" t="s">
        <x:v>111</x:v>
      </x:c>
      <x:c r="E15" s="2" t="str">
        <x:f>IF($B$2="いいえ","削除予定",IF(AND(B15="",C15="",D15=""),"削除予定",IF(AND(B15="OB / OG",C15="1978年度",D15="山田　花 (芦田先端技研株式会社)"),"要編集",IF(OR(B15="",D15=""),"未入力","OK"))))</x:f>
        <x:v>要編集</x:v>
      </x:c>
    </x:row>
    <x:row r="16" ht="20" customHeight="1">
      <x:c r="A16" s="2">
        <x:v>7</x:v>
      </x:c>
      <x:c r="B16" s="4" t="s">
        <x:v>109</x:v>
      </x:c>
      <x:c r="C16" s="4" t="s">
        <x:v>110</x:v>
      </x:c>
      <x:c r="D16" s="4" t="s">
        <x:v>112</x:v>
      </x:c>
      <x:c r="E16" s="2" t="str">
        <x:f>IF($B$2="いいえ","削除予定",IF(AND(B16="",C16="",D16=""),"削除予定",IF(AND(B16="OB / OG",C16="1978年度",D16="佐々木　一郎 (星明技術研究所　研究員)"),"要編集",IF(OR(B16="",D16=""),"未入力","OK"))))</x:f>
        <x:v>要編集</x:v>
      </x:c>
    </x:row>
    <x:row r="17" ht="20" customHeight="1">
      <x:c r="A17" s="2">
        <x:v>8</x:v>
      </x:c>
      <x:c r="B17" s="4" t="s">
        <x:v>109</x:v>
      </x:c>
      <x:c r="C17" s="4" t="s">
        <x:v>113</x:v>
      </x:c>
      <x:c r="D17" s="4" t="s">
        <x:v>114</x:v>
      </x:c>
      <x:c r="E17" s="2" t="str">
        <x:f>IF($B$2="いいえ","削除予定",IF(AND(B17="",C17="",D17=""),"削除予定",IF(AND(B17="OB / OG",C17="1979年度",D17="吉田　美香 (帝都大学　研究員)"),"要編集",IF(OR(B17="",D17=""),"未入力","OK"))))</x:f>
        <x:v>要編集</x:v>
      </x:c>
    </x:row>
    <x:row r="18" ht="20" customHeight="1">
      <x:c r="A18" s="2">
        <x:v>9</x:v>
      </x:c>
      <x:c r="B18" s="4" t="s">
        <x:v>109</x:v>
      </x:c>
      <x:c r="C18" s="4" t="s">
        <x:v>113</x:v>
      </x:c>
      <x:c r="D18" s="4" t="s">
        <x:v>115</x:v>
      </x:c>
      <x:c r="E18" s="2" t="str">
        <x:f>IF($B$2="いいえ","削除予定",IF(AND(B18="",C18="",D18=""),"削除予定",IF(AND(B18="OB / OG",C18="1979年度",D18="鈴木　陽一 (株式会社藍原エコエネルギー研究所)"),"要編集",IF(OR(B18="",D18=""),"未入力","OK"))))</x:f>
        <x:v>要編集</x:v>
      </x:c>
    </x:row>
    <x:row r="19" ht="20" customHeight="1">
      <x:c r="A19" s="2">
        <x:v>10</x:v>
      </x:c>
      <x:c r="B19" s="4"/>
      <x:c r="C19" s="4"/>
      <x:c r="D19" s="4"/>
      <x:c r="E19" s="2" t="str">
        <x:f t="shared" ref="E19:E39" si="0">IF($B$2="いいえ","削除予定",IF(AND(B19="",C19="",D19=""),"削除予定",IF(OR(B19="",D19=""),"未入力","OK")))</x:f>
        <x:v>削除予定</x:v>
      </x:c>
    </x:row>
    <x:row r="20" ht="20" customHeight="1">
      <x:c r="A20" s="2">
        <x:v>11</x:v>
      </x:c>
      <x:c r="B20" s="4"/>
      <x:c r="C20" s="4"/>
      <x:c r="D20" s="4"/>
      <x:c r="E20" s="2" t="str">
        <x:f t="shared" si="0"/>
        <x:v>削除予定</x:v>
      </x:c>
    </x:row>
    <x:row r="21" ht="20" customHeight="1">
      <x:c r="A21" s="2">
        <x:v>12</x:v>
      </x:c>
      <x:c r="B21" s="4"/>
      <x:c r="C21" s="4"/>
      <x:c r="D21" s="4"/>
      <x:c r="E21" s="2" t="str">
        <x:f t="shared" si="0"/>
        <x:v>削除予定</x:v>
      </x:c>
    </x:row>
    <x:row r="22" ht="20" customHeight="1">
      <x:c r="A22" s="2">
        <x:v>13</x:v>
      </x:c>
      <x:c r="B22" s="4"/>
      <x:c r="C22" s="4"/>
      <x:c r="D22" s="4"/>
      <x:c r="E22" s="2" t="str">
        <x:f t="shared" si="0"/>
        <x:v>削除予定</x:v>
      </x:c>
    </x:row>
    <x:row r="23" ht="20" customHeight="1">
      <x:c r="A23" s="2">
        <x:v>14</x:v>
      </x:c>
      <x:c r="B23" s="4"/>
      <x:c r="C23" s="4"/>
      <x:c r="D23" s="4"/>
      <x:c r="E23" s="2" t="str">
        <x:f t="shared" si="0"/>
        <x:v>削除予定</x:v>
      </x:c>
    </x:row>
    <x:row r="24" ht="20" customHeight="1">
      <x:c r="A24" s="2">
        <x:v>15</x:v>
      </x:c>
      <x:c r="B24" s="4"/>
      <x:c r="C24" s="4"/>
      <x:c r="D24" s="4"/>
      <x:c r="E24" s="2" t="str">
        <x:f t="shared" si="0"/>
        <x:v>削除予定</x:v>
      </x:c>
    </x:row>
    <x:row r="25" ht="20" customHeight="1">
      <x:c r="A25" s="2">
        <x:v>16</x:v>
      </x:c>
      <x:c r="B25" s="4"/>
      <x:c r="C25" s="4"/>
      <x:c r="D25" s="4"/>
      <x:c r="E25" s="2" t="str">
        <x:f t="shared" si="0"/>
        <x:v>削除予定</x:v>
      </x:c>
    </x:row>
    <x:row r="26" ht="20" customHeight="1">
      <x:c r="A26" s="2">
        <x:v>17</x:v>
      </x:c>
      <x:c r="B26" s="4"/>
      <x:c r="C26" s="4"/>
      <x:c r="D26" s="4"/>
      <x:c r="E26" s="2" t="str">
        <x:f t="shared" si="0"/>
        <x:v>削除予定</x:v>
      </x:c>
    </x:row>
    <x:row r="27" ht="20" customHeight="1">
      <x:c r="A27" s="2">
        <x:v>18</x:v>
      </x:c>
      <x:c r="B27" s="4"/>
      <x:c r="C27" s="4"/>
      <x:c r="D27" s="4"/>
      <x:c r="E27" s="2" t="str">
        <x:f t="shared" si="0"/>
        <x:v>削除予定</x:v>
      </x:c>
    </x:row>
    <x:row r="28" ht="20" customHeight="1">
      <x:c r="A28" s="2">
        <x:v>19</x:v>
      </x:c>
      <x:c r="B28" s="4"/>
      <x:c r="C28" s="4"/>
      <x:c r="D28" s="4"/>
      <x:c r="E28" s="2" t="str">
        <x:f t="shared" si="0"/>
        <x:v>削除予定</x:v>
      </x:c>
    </x:row>
    <x:row r="29" ht="20" customHeight="1">
      <x:c r="A29" s="2">
        <x:v>20</x:v>
      </x:c>
      <x:c r="B29" s="4"/>
      <x:c r="C29" s="4"/>
      <x:c r="D29" s="4"/>
      <x:c r="E29" s="2" t="str">
        <x:f t="shared" si="0"/>
        <x:v>削除予定</x:v>
      </x:c>
    </x:row>
    <x:row r="30" ht="20" customHeight="1">
      <x:c r="A30" s="2">
        <x:v>21</x:v>
      </x:c>
      <x:c r="B30" s="4"/>
      <x:c r="C30" s="4"/>
      <x:c r="D30" s="4"/>
      <x:c r="E30" s="2" t="str">
        <x:f t="shared" si="0"/>
        <x:v>削除予定</x:v>
      </x:c>
    </x:row>
    <x:row r="31" ht="20" customHeight="1">
      <x:c r="A31" s="2">
        <x:v>22</x:v>
      </x:c>
      <x:c r="B31" s="4"/>
      <x:c r="C31" s="4"/>
      <x:c r="D31" s="4"/>
      <x:c r="E31" s="2" t="str">
        <x:f t="shared" si="0"/>
        <x:v>削除予定</x:v>
      </x:c>
    </x:row>
    <x:row r="32" ht="20" customHeight="1">
      <x:c r="A32" s="2">
        <x:v>23</x:v>
      </x:c>
      <x:c r="B32" s="4"/>
      <x:c r="C32" s="4"/>
      <x:c r="D32" s="4"/>
      <x:c r="E32" s="2" t="str">
        <x:f t="shared" si="0"/>
        <x:v>削除予定</x:v>
      </x:c>
    </x:row>
    <x:row r="33" ht="20" customHeight="1">
      <x:c r="A33" s="2">
        <x:v>24</x:v>
      </x:c>
      <x:c r="B33" s="4"/>
      <x:c r="C33" s="4"/>
      <x:c r="D33" s="4"/>
      <x:c r="E33" s="2" t="str">
        <x:f t="shared" si="0"/>
        <x:v>削除予定</x:v>
      </x:c>
    </x:row>
    <x:row r="34" ht="20" customHeight="1">
      <x:c r="A34" s="2">
        <x:v>25</x:v>
      </x:c>
      <x:c r="B34" s="4"/>
      <x:c r="C34" s="4"/>
      <x:c r="D34" s="4"/>
      <x:c r="E34" s="2" t="str">
        <x:f t="shared" si="0"/>
        <x:v>削除予定</x:v>
      </x:c>
    </x:row>
    <x:row r="35" ht="20" customHeight="1">
      <x:c r="A35" s="2">
        <x:v>26</x:v>
      </x:c>
      <x:c r="B35" s="4"/>
      <x:c r="C35" s="4"/>
      <x:c r="D35" s="4"/>
      <x:c r="E35" s="2" t="str">
        <x:f t="shared" si="0"/>
        <x:v>削除予定</x:v>
      </x:c>
    </x:row>
    <x:row r="36" ht="20" customHeight="1">
      <x:c r="A36" s="2">
        <x:v>27</x:v>
      </x:c>
      <x:c r="B36" s="4"/>
      <x:c r="C36" s="4"/>
      <x:c r="D36" s="4"/>
      <x:c r="E36" s="2" t="str">
        <x:f t="shared" si="0"/>
        <x:v>削除予定</x:v>
      </x:c>
    </x:row>
    <x:row r="37" ht="20" customHeight="1">
      <x:c r="A37" s="2">
        <x:v>28</x:v>
      </x:c>
      <x:c r="B37" s="4"/>
      <x:c r="C37" s="4"/>
      <x:c r="D37" s="4"/>
      <x:c r="E37" s="2" t="str">
        <x:f t="shared" si="0"/>
        <x:v>削除予定</x:v>
      </x:c>
    </x:row>
    <x:row r="38" ht="20" customHeight="1">
      <x:c r="A38" s="2">
        <x:v>29</x:v>
      </x:c>
      <x:c r="B38" s="4"/>
      <x:c r="C38" s="4"/>
      <x:c r="D38" s="4"/>
      <x:c r="E38" s="2" t="str">
        <x:f t="shared" si="0"/>
        <x:v>削除予定</x:v>
      </x:c>
    </x:row>
    <x:row r="39" ht="20" customHeight="1">
      <x:c r="A39" s="2">
        <x:v>30</x:v>
      </x:c>
      <x:c r="B39" s="4"/>
      <x:c r="C39" s="4"/>
      <x:c r="D39" s="4"/>
      <x:c r="E39" s="2" t="str">
        <x:f t="shared" si="0"/>
        <x:v>削除予定</x:v>
      </x:c>
    </x:row>
  </x:sheetData>
  <x:mergeCells>
    <x:mergeCell ref="A1:E1"/>
    <x:mergeCell ref="C2:E2"/>
    <x:mergeCell ref="C3:E3"/>
    <x:mergeCell ref="A7:E7"/>
  </x:mergeCells>
  <x:conditionalFormatting sqref="C5:C5">
    <x:cfRule type="expression" dxfId="41" priority="4">
      <x:formula>OR(A1="要編集",A1="未入力",LEFT(A1,5)="ERROR")</x:formula>
    </x:cfRule>
    <x:cfRule type="expression" dxfId="40" priority="5">
      <x:formula>A1="OK"</x:formula>
    </x:cfRule>
    <x:cfRule type="expression" dxfId="39" priority="6">
      <x:formula>A1="削除予定"</x:formula>
    </x:cfRule>
  </x:conditionalFormatting>
  <x:conditionalFormatting sqref="E10:E39">
    <x:cfRule type="expression" dxfId="38" priority="1">
      <x:formula>OR(A1="要編集",A1="未入力",LEFT(A1,5)="ERROR")</x:formula>
    </x:cfRule>
    <x:cfRule type="expression" dxfId="37" priority="2">
      <x:formula>A1="OK"</x:formula>
    </x:cfRule>
    <x:cfRule type="expression" dxfId="36" priority="3">
      <x:formula>A1="削除予定"</x:formula>
    </x:cfRule>
  </x:conditionalFormatting>
  <x:dataValidations count="1">
    <x:dataValidation type="list" sqref="B2">
      <x:formula1>"はい,いいえ"</x:formula1>
    </x:dataValidation>
  </x:dataValidations>
  <x:pageMargins left="0.7" right="0.7" top="0.75" bottom="0.75" header="0.3" footer="0.3"/>
</x:worksheet>
</file>

<file path=xl/worksheets/sheet7.xml><?xml version="1.0" encoding="utf-8"?>
<x:worksheet xmlns:x="http://schemas.openxmlformats.org/spreadsheetml/2006/main">
  <x:sheetFormatPr defaultRowHeight="14"/>
  <x:cols>
    <x:col min="1" max="1" width="10" customWidth="1"/>
    <x:col min="2" max="2" width="26" customWidth="1"/>
    <x:col min="3" max="3" width="18" customWidth="1"/>
    <x:col min="4" max="4" width="70" customWidth="1"/>
    <x:col min="5" max="5" width="16" customWidth="1"/>
  </x:cols>
  <x:sheetData>
    <x:row r="1" ht="20" customHeight="1">
      <x:c r="A1" s="8" t="s">
        <x:v>116</x:v>
      </x:c>
      <x:c r="B1" s="8"/>
      <x:c r="C1" s="8"/>
      <x:c r="D1" s="8"/>
      <x:c r="E1" s="8"/>
    </x:row>
    <x:row r="2" ht="18.649999618530273" customHeight="1">
      <x:c r="A2" s="3" t="s">
        <x:v>67</x:v>
      </x:c>
      <x:c r="B2" s="4" t="s">
        <x:v>68</x:v>
      </x:c>
      <x:c r="C2" s="9" t="s">
        <x:v>69</x:v>
      </x:c>
      <x:c r="D2" s="9"/>
      <x:c r="E2" s="9"/>
    </x:row>
    <x:row r="3" ht="18.649999618530273" customHeight="1">
      <x:c r="A3" s="3" t="s">
        <x:v>70</x:v>
      </x:c>
      <x:c r="B3" s="4" t="s">
        <x:v>30</x:v>
      </x:c>
      <x:c r="C3" s="9" t="s">
        <x:v>71</x:v>
      </x:c>
      <x:c r="D3" s="9"/>
      <x:c r="E3" s="9"/>
    </x:row>
    <x:row r="4">
      <x:c r="A4" s="2"/>
      <x:c r="B4" s="2"/>
      <x:c r="C4" s="2"/>
      <x:c r="D4" s="2"/>
      <x:c r="E4" s="2"/>
    </x:row>
    <x:row r="5" ht="26">
      <x:c r="A5" s="3" t="s">
        <x:v>47</x:v>
      </x:c>
      <x:c r="B5" s="2"/>
      <x:c r="C5" s="2" t="str">
        <x:f>IF(B2="いいえ","削除予定",IF(COUNTIF(C10:C12,"要編集")+COUNTIF(C10:C12,"未入力")+COUNTIF(C16:C20,"要編集")+COUNTIF(C16:C20,"未入力")+COUNTIF(E24:E53,"要編集")+COUNTIF(E24:E53,"未入力")&gt;0,"ERROR: 要編集あり","OK"))</x:f>
        <x:v>ERROR: 要編集あり</x:v>
      </x:c>
      <x:c r="D5" s="2"/>
      <x:c r="E5" s="2"/>
    </x:row>
    <x:row r="6">
      <x:c r="A6" s="2"/>
      <x:c r="B6" s="2"/>
      <x:c r="C6" s="2"/>
      <x:c r="D6" s="2"/>
      <x:c r="E6" s="2"/>
    </x:row>
    <x:row r="7" ht="32" customHeight="1">
      <x:c r="A7" s="10" t="s">
        <x:v>117</x:v>
      </x:c>
      <x:c r="B7" s="10"/>
      <x:c r="C7" s="10"/>
      <x:c r="D7" s="10"/>
      <x:c r="E7" s="10"/>
    </x:row>
    <x:row r="8">
      <x:c r="A8" s="2"/>
      <x:c r="B8" s="2"/>
      <x:c r="C8" s="2"/>
      <x:c r="D8" s="2"/>
      <x:c r="E8" s="2"/>
    </x:row>
    <x:row r="9" ht="20" customHeight="1">
      <x:c r="A9" s="1" t="s">
        <x:v>118</x:v>
      </x:c>
      <x:c r="B9" s="1" t="s">
        <x:v>49</x:v>
      </x:c>
      <x:c r="C9" s="1" t="s">
        <x:v>50</x:v>
      </x:c>
      <x:c r="D9" s="1" t="s">
        <x:v>52</x:v>
      </x:c>
      <x:c r="E9" s="2"/>
    </x:row>
    <x:row r="10" ht="20" customHeight="1">
      <x:c r="A10" s="2" t="s">
        <x:v>119</x:v>
      </x:c>
      <x:c r="B10" s="4" t="s">
        <x:v>120</x:v>
      </x:c>
      <x:c r="C10" s="2" t="str">
        <x:f>IF($B$2="いいえ","削除予定",IF(B10="","未入力",IF(B10="教授","要編集","OK")))</x:f>
        <x:v>要編集</x:v>
      </x:c>
      <x:c r="D10" s="2"/>
      <x:c r="E10" s="2"/>
    </x:row>
    <x:row r="11" ht="20" customHeight="1">
      <x:c r="A11" s="2" t="s">
        <x:v>121</x:v>
      </x:c>
      <x:c r="B11" s="4" t="s">
        <x:v>122</x:v>
      </x:c>
      <x:c r="C11" s="2" t="str">
        <x:f>IF($B$2="いいえ","削除予定",IF(B11="","未入力",IF(B11="佐藤 太郎","要編集","OK")))</x:f>
        <x:v>要編集</x:v>
      </x:c>
      <x:c r="D11" s="2"/>
      <x:c r="E11" s="2"/>
    </x:row>
    <x:row r="12" ht="20" customHeight="1">
      <x:c r="A12" s="2" t="s">
        <x:v>123</x:v>
      </x:c>
      <x:c r="B12" s="4" t="s">
        <x:v>124</x:v>
      </x:c>
      <x:c r="C12" s="2" t="str">
        <x:f>IF($B$2="いいえ","削除予定",IF(B12="","未入力",IF(B12="Sato Taro","要編集","OK")))</x:f>
        <x:v>要編集</x:v>
      </x:c>
      <x:c r="D12" s="2"/>
      <x:c r="E12" s="2"/>
    </x:row>
    <x:row r="13">
      <x:c r="A13" s="2"/>
      <x:c r="B13" s="2"/>
      <x:c r="C13" s="2"/>
      <x:c r="D13" s="2"/>
      <x:c r="E13" s="2"/>
    </x:row>
    <x:row r="14">
      <x:c r="A14" s="2"/>
      <x:c r="B14" s="2"/>
      <x:c r="C14" s="2"/>
      <x:c r="D14" s="2"/>
      <x:c r="E14" s="2"/>
    </x:row>
    <x:row r="15" ht="20" customHeight="1">
      <x:c r="A15" s="1" t="s">
        <x:v>125</x:v>
      </x:c>
      <x:c r="B15" s="1" t="s">
        <x:v>126</x:v>
      </x:c>
      <x:c r="C15" s="1" t="s">
        <x:v>50</x:v>
      </x:c>
      <x:c r="D15" s="1" t="s">
        <x:v>52</x:v>
      </x:c>
      <x:c r="E15" s="2"/>
    </x:row>
    <x:row r="16" ht="20" customHeight="1">
      <x:c r="A16" s="4" t="s">
        <x:v>127</x:v>
      </x:c>
      <x:c r="B16" s="4"/>
      <x:c r="C16" s="2" t="str">
        <x:f>IF($B$2="いいえ","削除予定",IF(AND(A16="",B16=""),"削除予定",IF(A16="帝都大学研究者紹介","要編集",IF(OR(A16="",B16=""),"未入力","OK"))))</x:f>
        <x:v>要編集</x:v>
      </x:c>
      <x:c r="D16" s="2" t="s">
        <x:v>128</x:v>
      </x:c>
      <x:c r="E16" s="2"/>
    </x:row>
    <x:row r="17" ht="20" customHeight="1">
      <x:c r="A17" s="4" t="s">
        <x:v>129</x:v>
      </x:c>
      <x:c r="B17" s="4"/>
      <x:c r="C17" s="2" t="str">
        <x:f>IF($B$2="いいえ","削除予定",IF(AND(A17="",B17=""),"削除予定",IF(AND(A17="Google Scholar",B17=""),"要編集",IF(OR(A17="",B17=""),"未入力","OK"))))</x:f>
        <x:v>要編集</x:v>
      </x:c>
      <x:c r="D17" s="2" t="s">
        <x:v>128</x:v>
      </x:c>
      <x:c r="E17" s="2"/>
    </x:row>
    <x:row r="18" ht="20" customHeight="1">
      <x:c r="A18" s="4"/>
      <x:c r="B18" s="4"/>
      <x:c r="C18" s="2" t="str">
        <x:f>IF($B$2="いいえ","削除予定",IF(AND(A18="",B18=""),"削除予定",IF(OR(A18="",B18=""),"未入力","OK")))</x:f>
        <x:v>削除予定</x:v>
      </x:c>
      <x:c r="D18" s="2" t="s">
        <x:v>128</x:v>
      </x:c>
      <x:c r="E18" s="2"/>
    </x:row>
    <x:row r="19" ht="20" customHeight="1">
      <x:c r="A19" s="4"/>
      <x:c r="B19" s="4"/>
      <x:c r="C19" s="2" t="str">
        <x:f>IF($B$2="いいえ","削除予定",IF(AND(A19="",B19=""),"削除予定",IF(OR(A19="",B19=""),"未入力","OK")))</x:f>
        <x:v>削除予定</x:v>
      </x:c>
      <x:c r="D19" s="2" t="s">
        <x:v>128</x:v>
      </x:c>
      <x:c r="E19" s="2"/>
    </x:row>
    <x:row r="20" ht="20" customHeight="1">
      <x:c r="A20" s="4"/>
      <x:c r="B20" s="4"/>
      <x:c r="C20" s="2" t="str">
        <x:f>IF($B$2="いいえ","削除予定",IF(AND(A20="",B20=""),"削除予定",IF(OR(A20="",B20=""),"未入力","OK")))</x:f>
        <x:v>削除予定</x:v>
      </x:c>
      <x:c r="D20" s="2" t="s">
        <x:v>128</x:v>
      </x:c>
      <x:c r="E20" s="2"/>
    </x:row>
    <x:row r="21">
      <x:c r="A21" s="2"/>
      <x:c r="B21" s="2"/>
      <x:c r="C21" s="2"/>
      <x:c r="D21" s="2"/>
      <x:c r="E21" s="2"/>
    </x:row>
    <x:row r="22">
      <x:c r="A22" s="2"/>
      <x:c r="B22" s="2"/>
      <x:c r="C22" s="2"/>
      <x:c r="D22" s="2"/>
      <x:c r="E22" s="2"/>
    </x:row>
    <x:row r="23" ht="20" customHeight="1">
      <x:c r="A23" s="1" t="s">
        <x:v>3</x:v>
      </x:c>
      <x:c r="B23" s="1" t="s">
        <x:v>99</x:v>
      </x:c>
      <x:c r="C23" s="1" t="s">
        <x:v>130</x:v>
      </x:c>
      <x:c r="D23" s="1" t="s">
        <x:v>6</x:v>
      </x:c>
      <x:c r="E23" s="1" t="s">
        <x:v>50</x:v>
      </x:c>
    </x:row>
    <x:row r="24" ht="20" customHeight="1">
      <x:c r="A24" s="2">
        <x:v>1</x:v>
      </x:c>
      <x:c r="B24" s="4" t="s">
        <x:v>131</x:v>
      </x:c>
      <x:c r="C24" s="4" t="s">
        <x:v>132</x:v>
      </x:c>
      <x:c r="D24" s="4" t="s">
        <x:v>133</x:v>
      </x:c>
      <x:c r="E24" s="2" t="str">
        <x:f>IF($B$2="いいえ","削除予定",IF(AND(B24="",C24="",D24=""),"削除予定",IF(AND(B24="経歴",C24="2023",D24="帝都大学工学部卒業"),"要編集",IF(OR(B24="",D24=""),"未入力","OK"))))</x:f>
        <x:v>要編集</x:v>
      </x:c>
    </x:row>
    <x:row r="25" ht="20" customHeight="1">
      <x:c r="A25" s="2">
        <x:v>2</x:v>
      </x:c>
      <x:c r="B25" s="4" t="s">
        <x:v>131</x:v>
      </x:c>
      <x:c r="C25" s="4" t="s">
        <x:v>132</x:v>
      </x:c>
      <x:c r="D25" s="4" t="s">
        <x:v>134</x:v>
      </x:c>
      <x:c r="E25" s="2" t="str">
        <x:f>IF($B$2="いいえ","削除予定",IF(AND(B25="",C25="",D25=""),"削除予定",IF(AND(B25="経歴",C25="2023",D25="帝都大学大学院工学研究科博士前期課程入学"),"要編集",IF(OR(B25="",D25=""),"未入力","OK"))))</x:f>
        <x:v>要編集</x:v>
      </x:c>
    </x:row>
    <x:row r="26" ht="20" customHeight="1">
      <x:c r="A26" s="2">
        <x:v>3</x:v>
      </x:c>
      <x:c r="B26" s="4" t="s">
        <x:v>131</x:v>
      </x:c>
      <x:c r="C26" s="4" t="s">
        <x:v>132</x:v>
      </x:c>
      <x:c r="D26" s="4" t="s">
        <x:v>135</x:v>
      </x:c>
      <x:c r="E26" s="2" t="str">
        <x:f>IF($B$2="いいえ","削除予定",IF(AND(B26="",C26="",D26=""),"削除予定",IF(AND(B26="経歴",C26="2023",D26="帝都大学大学院工学研究科博士前期課程修了"),"要編集",IF(OR(B26="",D26=""),"未入力","OK"))))</x:f>
        <x:v>要編集</x:v>
      </x:c>
    </x:row>
    <x:row r="27" ht="20" customHeight="1">
      <x:c r="A27" s="2">
        <x:v>4</x:v>
      </x:c>
      <x:c r="B27" s="4" t="s">
        <x:v>131</x:v>
      </x:c>
      <x:c r="C27" s="4" t="s">
        <x:v>132</x:v>
      </x:c>
      <x:c r="D27" s="4" t="s">
        <x:v>136</x:v>
      </x:c>
      <x:c r="E27" s="2" t="str">
        <x:f>IF($B$2="いいえ","削除予定",IF(AND(B27="",C27="",D27=""),"削除予定",IF(AND(B27="経歴",C27="2023",D27="帝都大学大学院工学研究科博士後期課程入学"),"要編集",IF(OR(B27="",D27=""),"未入力","OK"))))</x:f>
        <x:v>要編集</x:v>
      </x:c>
    </x:row>
    <x:row r="28" ht="20" customHeight="1">
      <x:c r="A28" s="2">
        <x:v>5</x:v>
      </x:c>
      <x:c r="B28" s="4" t="s">
        <x:v>131</x:v>
      </x:c>
      <x:c r="C28" s="4" t="s">
        <x:v>132</x:v>
      </x:c>
      <x:c r="D28" s="4" t="s">
        <x:v>137</x:v>
      </x:c>
      <x:c r="E28" s="2" t="str">
        <x:f>IF($B$2="いいえ","削除予定",IF(AND(B28="",C28="",D28=""),"削除予定",IF(AND(B28="経歴",C28="2023",D28="帝都大学大学院工学研究科博士後期課程修了"),"要編集",IF(OR(B28="",D28=""),"未入力","OK"))))</x:f>
        <x:v>要編集</x:v>
      </x:c>
    </x:row>
    <x:row r="29" ht="20" customHeight="1">
      <x:c r="A29" s="2">
        <x:v>6</x:v>
      </x:c>
      <x:c r="B29" s="4" t="s">
        <x:v>131</x:v>
      </x:c>
      <x:c r="C29" s="4" t="s">
        <x:v>132</x:v>
      </x:c>
      <x:c r="D29" s="4" t="s">
        <x:v>138</x:v>
      </x:c>
      <x:c r="E29" s="2" t="str">
        <x:f>IF($B$2="いいえ","削除予定",IF(AND(B29="",C29="",D29=""),"削除予定",IF(AND(B29="経歴",C29="2023",D29="ABCテクノロジー株式会社　研究員"),"要編集",IF(OR(B29="",D29=""),"未入力","OK"))))</x:f>
        <x:v>要編集</x:v>
      </x:c>
    </x:row>
    <x:row r="30" ht="20" customHeight="1">
      <x:c r="A30" s="2">
        <x:v>7</x:v>
      </x:c>
      <x:c r="B30" s="4" t="s">
        <x:v>131</x:v>
      </x:c>
      <x:c r="C30" s="4" t="s">
        <x:v>132</x:v>
      </x:c>
      <x:c r="D30" s="4" t="s">
        <x:v>139</x:v>
      </x:c>
      <x:c r="E30" s="2" t="str">
        <x:f>IF($B$2="いいえ","削除予定",IF(AND(B30="",C30="",D30=""),"削除予定",IF(AND(B30="経歴",C30="2023",D30="帝都大学　准教授"),"要編集",IF(OR(B30="",D30=""),"未入力","OK"))))</x:f>
        <x:v>要編集</x:v>
      </x:c>
    </x:row>
    <x:row r="31" ht="20" customHeight="1">
      <x:c r="A31" s="2">
        <x:v>8</x:v>
      </x:c>
      <x:c r="B31" s="4" t="s">
        <x:v>131</x:v>
      </x:c>
      <x:c r="C31" s="4" t="s">
        <x:v>132</x:v>
      </x:c>
      <x:c r="D31" s="4" t="s">
        <x:v>140</x:v>
      </x:c>
      <x:c r="E31" s="2" t="str">
        <x:f>IF($B$2="いいえ","削除予定",IF(AND(B31="",C31="",D31=""),"削除予定",IF(AND(B31="経歴",C31="2023",D31="帝都大学　教授"),"要編集",IF(OR(B31="",D31=""),"未入力","OK"))))</x:f>
        <x:v>要編集</x:v>
      </x:c>
    </x:row>
    <x:row r="32" ht="20" customHeight="1">
      <x:c r="A32" s="2">
        <x:v>9</x:v>
      </x:c>
      <x:c r="B32" s="4" t="s">
        <x:v>141</x:v>
      </x:c>
      <x:c r="C32" s="4" t="s">
        <x:v>132</x:v>
      </x:c>
      <x:c r="D32" s="4" t="s">
        <x:v>142</x:v>
      </x:c>
      <x:c r="E32" s="2" t="str">
        <x:f>IF($B$2="いいえ","削除予定",IF(AND(B32="",C32="",D32=""),"削除予定",IF(AND(B32="受賞歴",C32="2023",D32="日本データサイエンス賞受賞"),"要編集",IF(OR(B32="",D32=""),"未入力","OK"))))</x:f>
        <x:v>要編集</x:v>
      </x:c>
    </x:row>
    <x:row r="33" ht="20" customHeight="1">
      <x:c r="A33" s="2">
        <x:v>10</x:v>
      </x:c>
      <x:c r="B33" s="4" t="s">
        <x:v>141</x:v>
      </x:c>
      <x:c r="C33" s="4" t="s">
        <x:v>132</x:v>
      </x:c>
      <x:c r="D33" s="4" t="s">
        <x:v>143</x:v>
      </x:c>
      <x:c r="E33" s="2" t="str">
        <x:f>IF($B$2="いいえ","削除予定",IF(AND(B33="",C33="",D33=""),"削除予定",IF(AND(B33="受賞歴",C33="2023",D33="国際AI学会最優秀論文賞"),"要編集",IF(OR(B33="",D33=""),"未入力","OK"))))</x:f>
        <x:v>要編集</x:v>
      </x:c>
    </x:row>
    <x:row r="34" ht="20" customHeight="1">
      <x:c r="A34" s="2">
        <x:v>11</x:v>
      </x:c>
      <x:c r="B34" s="4" t="s">
        <x:v>144</x:v>
      </x:c>
      <x:c r="C34" s="4"/>
      <x:c r="D34" s="4" t="s">
        <x:v>145</x:v>
      </x:c>
      <x:c r="E34" s="2" t="str">
        <x:f>IF($B$2="いいえ","削除予定",IF(AND(B34="",C34="",D34=""),"削除予定",IF(AND(B34="所属学会",C34="",D34="全国人工知能研究学会"),"要編集",IF(OR(B34="",D34=""),"未入力","OK"))))</x:f>
        <x:v>要編集</x:v>
      </x:c>
    </x:row>
    <x:row r="35" ht="20" customHeight="1">
      <x:c r="A35" s="2">
        <x:v>12</x:v>
      </x:c>
      <x:c r="B35" s="4" t="s">
        <x:v>144</x:v>
      </x:c>
      <x:c r="C35" s="4"/>
      <x:c r="D35" s="4" t="s">
        <x:v>146</x:v>
      </x:c>
      <x:c r="E35" s="2" t="str">
        <x:f>IF($B$2="いいえ","削除予定",IF(AND(B35="",C35="",D35=""),"削除予定",IF(AND(B35="所属学会",C35="",D35="アジア人工知能技術学会"),"要編集",IF(OR(B35="",D35=""),"未入力","OK"))))</x:f>
        <x:v>要編集</x:v>
      </x:c>
    </x:row>
    <x:row r="36" ht="20" customHeight="1">
      <x:c r="A36" s="2">
        <x:v>13</x:v>
      </x:c>
      <x:c r="B36" s="4" t="s">
        <x:v>144</x:v>
      </x:c>
      <x:c r="C36" s="4"/>
      <x:c r="D36" s="4" t="s">
        <x:v>147</x:v>
      </x:c>
      <x:c r="E36" s="2" t="str">
        <x:f>IF($B$2="いいえ","削除予定",IF(AND(B36="",C36="",D36=""),"削除予定",IF(AND(B36="所属学会",C36="",D36="先端AIイノベーション学会"),"要編集",IF(OR(B36="",D36=""),"未入力","OK"))))</x:f>
        <x:v>要編集</x:v>
      </x:c>
    </x:row>
    <x:row r="37" ht="20" customHeight="1">
      <x:c r="A37" s="2">
        <x:v>14</x:v>
      </x:c>
      <x:c r="B37" s="4"/>
      <x:c r="C37" s="4"/>
      <x:c r="D37" s="4"/>
      <x:c r="E37" s="2" t="str">
        <x:f t="shared" ref="E37:E53" si="0">IF($B$2="いいえ","削除予定",IF(AND(B37="",C37="",D37=""),"削除予定",IF(OR(B37="",D37=""),"未入力","OK")))</x:f>
        <x:v>削除予定</x:v>
      </x:c>
    </x:row>
    <x:row r="38" ht="20" customHeight="1">
      <x:c r="A38" s="2">
        <x:v>15</x:v>
      </x:c>
      <x:c r="B38" s="4"/>
      <x:c r="C38" s="4"/>
      <x:c r="D38" s="4"/>
      <x:c r="E38" s="2" t="str">
        <x:f t="shared" si="0"/>
        <x:v>削除予定</x:v>
      </x:c>
    </x:row>
    <x:row r="39" ht="20" customHeight="1">
      <x:c r="A39" s="2">
        <x:v>16</x:v>
      </x:c>
      <x:c r="B39" s="4"/>
      <x:c r="C39" s="4"/>
      <x:c r="D39" s="4"/>
      <x:c r="E39" s="2" t="str">
        <x:f t="shared" si="0"/>
        <x:v>削除予定</x:v>
      </x:c>
    </x:row>
    <x:row r="40" ht="20" customHeight="1">
      <x:c r="A40" s="2">
        <x:v>17</x:v>
      </x:c>
      <x:c r="B40" s="4"/>
      <x:c r="C40" s="4"/>
      <x:c r="D40" s="4"/>
      <x:c r="E40" s="2" t="str">
        <x:f t="shared" si="0"/>
        <x:v>削除予定</x:v>
      </x:c>
    </x:row>
    <x:row r="41" ht="20" customHeight="1">
      <x:c r="A41" s="2">
        <x:v>18</x:v>
      </x:c>
      <x:c r="B41" s="4"/>
      <x:c r="C41" s="4"/>
      <x:c r="D41" s="4"/>
      <x:c r="E41" s="2" t="str">
        <x:f t="shared" si="0"/>
        <x:v>削除予定</x:v>
      </x:c>
    </x:row>
    <x:row r="42" ht="20" customHeight="1">
      <x:c r="A42" s="2">
        <x:v>19</x:v>
      </x:c>
      <x:c r="B42" s="4"/>
      <x:c r="C42" s="4"/>
      <x:c r="D42" s="4"/>
      <x:c r="E42" s="2" t="str">
        <x:f t="shared" si="0"/>
        <x:v>削除予定</x:v>
      </x:c>
    </x:row>
    <x:row r="43" ht="20" customHeight="1">
      <x:c r="A43" s="2">
        <x:v>20</x:v>
      </x:c>
      <x:c r="B43" s="4"/>
      <x:c r="C43" s="4"/>
      <x:c r="D43" s="4"/>
      <x:c r="E43" s="2" t="str">
        <x:f t="shared" si="0"/>
        <x:v>削除予定</x:v>
      </x:c>
    </x:row>
    <x:row r="44" ht="20" customHeight="1">
      <x:c r="A44" s="2">
        <x:v>21</x:v>
      </x:c>
      <x:c r="B44" s="4"/>
      <x:c r="C44" s="4"/>
      <x:c r="D44" s="4"/>
      <x:c r="E44" s="2" t="str">
        <x:f t="shared" si="0"/>
        <x:v>削除予定</x:v>
      </x:c>
    </x:row>
    <x:row r="45" ht="20" customHeight="1">
      <x:c r="A45" s="2">
        <x:v>22</x:v>
      </x:c>
      <x:c r="B45" s="4"/>
      <x:c r="C45" s="4"/>
      <x:c r="D45" s="4"/>
      <x:c r="E45" s="2" t="str">
        <x:f t="shared" si="0"/>
        <x:v>削除予定</x:v>
      </x:c>
    </x:row>
    <x:row r="46" ht="20" customHeight="1">
      <x:c r="A46" s="2">
        <x:v>23</x:v>
      </x:c>
      <x:c r="B46" s="4"/>
      <x:c r="C46" s="4"/>
      <x:c r="D46" s="4"/>
      <x:c r="E46" s="2" t="str">
        <x:f t="shared" si="0"/>
        <x:v>削除予定</x:v>
      </x:c>
    </x:row>
    <x:row r="47" ht="20" customHeight="1">
      <x:c r="A47" s="2">
        <x:v>24</x:v>
      </x:c>
      <x:c r="B47" s="4"/>
      <x:c r="C47" s="4"/>
      <x:c r="D47" s="4"/>
      <x:c r="E47" s="2" t="str">
        <x:f t="shared" si="0"/>
        <x:v>削除予定</x:v>
      </x:c>
    </x:row>
    <x:row r="48" ht="20" customHeight="1">
      <x:c r="A48" s="2">
        <x:v>25</x:v>
      </x:c>
      <x:c r="B48" s="4"/>
      <x:c r="C48" s="4"/>
      <x:c r="D48" s="4"/>
      <x:c r="E48" s="2" t="str">
        <x:f t="shared" si="0"/>
        <x:v>削除予定</x:v>
      </x:c>
    </x:row>
    <x:row r="49" ht="20" customHeight="1">
      <x:c r="A49" s="2">
        <x:v>26</x:v>
      </x:c>
      <x:c r="B49" s="4"/>
      <x:c r="C49" s="4"/>
      <x:c r="D49" s="4"/>
      <x:c r="E49" s="2" t="str">
        <x:f t="shared" si="0"/>
        <x:v>削除予定</x:v>
      </x:c>
    </x:row>
    <x:row r="50" ht="20" customHeight="1">
      <x:c r="A50" s="2">
        <x:v>27</x:v>
      </x:c>
      <x:c r="B50" s="4"/>
      <x:c r="C50" s="4"/>
      <x:c r="D50" s="4"/>
      <x:c r="E50" s="2" t="str">
        <x:f t="shared" si="0"/>
        <x:v>削除予定</x:v>
      </x:c>
    </x:row>
    <x:row r="51" ht="20" customHeight="1">
      <x:c r="A51" s="2">
        <x:v>28</x:v>
      </x:c>
      <x:c r="B51" s="4"/>
      <x:c r="C51" s="4"/>
      <x:c r="D51" s="4"/>
      <x:c r="E51" s="2" t="str">
        <x:f t="shared" si="0"/>
        <x:v>削除予定</x:v>
      </x:c>
    </x:row>
    <x:row r="52" ht="20" customHeight="1">
      <x:c r="A52" s="2">
        <x:v>29</x:v>
      </x:c>
      <x:c r="B52" s="4"/>
      <x:c r="C52" s="4"/>
      <x:c r="D52" s="4"/>
      <x:c r="E52" s="2" t="str">
        <x:f t="shared" si="0"/>
        <x:v>削除予定</x:v>
      </x:c>
    </x:row>
    <x:row r="53" ht="20" customHeight="1">
      <x:c r="A53" s="2">
        <x:v>30</x:v>
      </x:c>
      <x:c r="B53" s="4"/>
      <x:c r="C53" s="4"/>
      <x:c r="D53" s="4"/>
      <x:c r="E53" s="2" t="str">
        <x:f t="shared" si="0"/>
        <x:v>削除予定</x:v>
      </x:c>
    </x:row>
  </x:sheetData>
  <x:mergeCells>
    <x:mergeCell ref="A1:E1"/>
    <x:mergeCell ref="C2:E2"/>
    <x:mergeCell ref="C3:E3"/>
    <x:mergeCell ref="A7:E7"/>
  </x:mergeCells>
  <x:conditionalFormatting sqref="C5:C5">
    <x:cfRule type="expression" dxfId="35" priority="10">
      <x:formula>OR(A1="要編集",A1="未入力",LEFT(A1,5)="ERROR")</x:formula>
    </x:cfRule>
    <x:cfRule type="expression" dxfId="34" priority="11">
      <x:formula>A1="OK"</x:formula>
    </x:cfRule>
    <x:cfRule type="expression" dxfId="33" priority="12">
      <x:formula>A1="削除予定"</x:formula>
    </x:cfRule>
  </x:conditionalFormatting>
  <x:conditionalFormatting sqref="C10:C12">
    <x:cfRule type="expression" dxfId="32" priority="1">
      <x:formula>OR(A1="要編集",A1="未入力",LEFT(A1,5)="ERROR")</x:formula>
    </x:cfRule>
    <x:cfRule type="expression" dxfId="31" priority="2">
      <x:formula>A1="OK"</x:formula>
    </x:cfRule>
    <x:cfRule type="expression" dxfId="30" priority="3">
      <x:formula>A1="削除予定"</x:formula>
    </x:cfRule>
  </x:conditionalFormatting>
  <x:conditionalFormatting sqref="C16:C20">
    <x:cfRule type="expression" dxfId="29" priority="4">
      <x:formula>OR(A1="要編集",A1="未入力",LEFT(A1,5)="ERROR")</x:formula>
    </x:cfRule>
    <x:cfRule type="expression" dxfId="28" priority="5">
      <x:formula>A1="OK"</x:formula>
    </x:cfRule>
    <x:cfRule type="expression" dxfId="27" priority="6">
      <x:formula>A1="削除予定"</x:formula>
    </x:cfRule>
  </x:conditionalFormatting>
  <x:conditionalFormatting sqref="E24:E53">
    <x:cfRule type="expression" dxfId="26" priority="7">
      <x:formula>OR(A1="要編集",A1="未入力",LEFT(A1,5)="ERROR")</x:formula>
    </x:cfRule>
    <x:cfRule type="expression" dxfId="25" priority="8">
      <x:formula>A1="OK"</x:formula>
    </x:cfRule>
    <x:cfRule type="expression" dxfId="24" priority="9">
      <x:formula>A1="削除予定"</x:formula>
    </x:cfRule>
  </x:conditionalFormatting>
  <x:dataValidations count="1">
    <x:dataValidation type="list" sqref="B2">
      <x:formula1>"はい,いいえ"</x:formula1>
    </x:dataValidation>
  </x:dataValidations>
  <x:pageMargins left="0.7" right="0.7" top="0.75" bottom="0.75" header="0.3" footer="0.3"/>
</x:worksheet>
</file>

<file path=xl/worksheets/sheet8.xml><?xml version="1.0" encoding="utf-8"?>
<x:worksheet xmlns:x="http://schemas.openxmlformats.org/spreadsheetml/2006/main">
  <x:sheetFormatPr defaultRowHeight="14"/>
  <x:cols>
    <x:col min="1" max="1" width="18" customWidth="1"/>
    <x:col min="2" max="2" width="14" customWidth="1"/>
    <x:col min="3" max="3" width="92" customWidth="1"/>
    <x:col min="4" max="4" width="42" customWidth="1"/>
    <x:col min="5" max="5" width="16" customWidth="1"/>
  </x:cols>
  <x:sheetData>
    <x:row r="1" ht="20" customHeight="1">
      <x:c r="A1" s="8" t="s">
        <x:v>148</x:v>
      </x:c>
      <x:c r="B1" s="8"/>
      <x:c r="C1" s="8"/>
      <x:c r="D1" s="8"/>
      <x:c r="E1" s="8"/>
    </x:row>
    <x:row r="2" ht="18.649999618530273" customHeight="1">
      <x:c r="A2" s="3" t="s">
        <x:v>67</x:v>
      </x:c>
      <x:c r="B2" s="4" t="s">
        <x:v>68</x:v>
      </x:c>
      <x:c r="C2" s="9" t="s">
        <x:v>69</x:v>
      </x:c>
      <x:c r="D2" s="9"/>
      <x:c r="E2" s="9"/>
    </x:row>
    <x:row r="3" ht="18.649999618530273" customHeight="1">
      <x:c r="A3" s="3" t="s">
        <x:v>70</x:v>
      </x:c>
      <x:c r="B3" s="4" t="s">
        <x:v>34</x:v>
      </x:c>
      <x:c r="C3" s="9" t="s">
        <x:v>71</x:v>
      </x:c>
      <x:c r="D3" s="9"/>
      <x:c r="E3" s="9"/>
    </x:row>
    <x:row r="4">
      <x:c r="A4" s="2"/>
      <x:c r="B4" s="2"/>
      <x:c r="C4" s="2"/>
      <x:c r="D4" s="2"/>
      <x:c r="E4" s="2"/>
    </x:row>
    <x:row r="5">
      <x:c r="A5" s="3" t="s">
        <x:v>47</x:v>
      </x:c>
      <x:c r="B5" s="2"/>
      <x:c r="C5" s="2" t="str">
        <x:f>IF(B2="いいえ","削除予定",IF(COUNTIF(E18:E67,"要編集")+COUNTIF(E18:E67,"未入力")&gt;0,"ERROR: 要編集あり","OK"))</x:f>
        <x:v>ERROR: 要編集あり</x:v>
      </x:c>
      <x:c r="D5" s="2"/>
      <x:c r="E5" s="2"/>
    </x:row>
    <x:row r="6">
      <x:c r="A6" s="2"/>
      <x:c r="B6" s="2"/>
      <x:c r="C6" s="2"/>
      <x:c r="D6" s="2"/>
      <x:c r="E6" s="2"/>
    </x:row>
    <x:row r="7" ht="32" customHeight="1">
      <x:c r="A7" s="10" t="s">
        <x:v>149</x:v>
      </x:c>
      <x:c r="B7" s="10"/>
      <x:c r="C7" s="10"/>
      <x:c r="D7" s="10"/>
      <x:c r="E7" s="10"/>
    </x:row>
    <x:row r="8">
      <x:c r="A8" s="2"/>
      <x:c r="B8" s="2"/>
      <x:c r="C8" s="2"/>
      <x:c r="D8" s="2"/>
      <x:c r="E8" s="2"/>
    </x:row>
    <x:row r="9" ht="20" customHeight="1">
      <x:c r="A9" s="1" t="s">
        <x:v>150</x:v>
      </x:c>
      <x:c r="B9" s="1" t="s">
        <x:v>151</x:v>
      </x:c>
      <x:c r="C9" s="1" t="s">
        <x:v>152</x:v>
      </x:c>
      <x:c r="D9" s="1" t="s">
        <x:v>52</x:v>
      </x:c>
      <x:c r="E9" s="2"/>
    </x:row>
    <x:row r="10" ht="18.649999618530273" customHeight="1">
      <x:c r="A10" s="2">
        <x:v>1</x:v>
      </x:c>
      <x:c r="B10" s="4" t="s">
        <x:v>68</x:v>
      </x:c>
      <x:c r="C10" s="4" t="s">
        <x:v>153</x:v>
      </x:c>
      <x:c r="D10" s="2" t="s">
        <x:v>154</x:v>
      </x:c>
      <x:c r="E10" s="2"/>
    </x:row>
    <x:row r="11" ht="18.649999618530273" customHeight="1">
      <x:c r="A11" s="2">
        <x:v>2</x:v>
      </x:c>
      <x:c r="B11" s="4" t="s">
        <x:v>68</x:v>
      </x:c>
      <x:c r="C11" s="4" t="s">
        <x:v>155</x:v>
      </x:c>
      <x:c r="D11" s="2" t="s">
        <x:v>154</x:v>
      </x:c>
      <x:c r="E11" s="2"/>
    </x:row>
    <x:row r="12" ht="18.649999618530273" customHeight="1">
      <x:c r="A12" s="2">
        <x:v>3</x:v>
      </x:c>
      <x:c r="B12" s="4" t="s">
        <x:v>68</x:v>
      </x:c>
      <x:c r="C12" s="4" t="s">
        <x:v>156</x:v>
      </x:c>
      <x:c r="D12" s="2" t="s">
        <x:v>154</x:v>
      </x:c>
      <x:c r="E12" s="2"/>
    </x:row>
    <x:row r="13" ht="18.649999618530273" customHeight="1">
      <x:c r="A13" s="2">
        <x:v>4</x:v>
      </x:c>
      <x:c r="B13" s="4" t="s">
        <x:v>68</x:v>
      </x:c>
      <x:c r="C13" s="4" t="s">
        <x:v>157</x:v>
      </x:c>
      <x:c r="D13" s="2" t="s">
        <x:v>154</x:v>
      </x:c>
      <x:c r="E13" s="2"/>
    </x:row>
    <x:row r="14" ht="18.649999618530273" customHeight="1">
      <x:c r="A14" s="2">
        <x:v>5</x:v>
      </x:c>
      <x:c r="B14" s="4" t="s">
        <x:v>68</x:v>
      </x:c>
      <x:c r="C14" s="4" t="s">
        <x:v>158</x:v>
      </x:c>
      <x:c r="D14" s="2" t="s">
        <x:v>154</x:v>
      </x:c>
      <x:c r="E14" s="2"/>
    </x:row>
    <x:row r="15">
      <x:c r="A15" s="2"/>
      <x:c r="B15" s="2"/>
      <x:c r="C15" s="2"/>
      <x:c r="D15" s="2"/>
      <x:c r="E15" s="2"/>
    </x:row>
    <x:row r="16">
      <x:c r="A16" s="2"/>
      <x:c r="B16" s="2"/>
      <x:c r="C16" s="2"/>
      <x:c r="D16" s="2"/>
      <x:c r="E16" s="2"/>
    </x:row>
    <x:row r="17" ht="20" customHeight="1">
      <x:c r="A17" s="1" t="s">
        <x:v>159</x:v>
      </x:c>
      <x:c r="B17" s="1" t="s">
        <x:v>3</x:v>
      </x:c>
      <x:c r="C17" s="1" t="s">
        <x:v>74</x:v>
      </x:c>
      <x:c r="D17" s="1" t="s">
        <x:v>160</x:v>
      </x:c>
      <x:c r="E17" s="1" t="s">
        <x:v>50</x:v>
      </x:c>
    </x:row>
    <x:row r="18" ht="25.399999618530273" customHeight="1">
      <x:c r="A18" s="2" t="str">
        <x:f t="shared" ref="A18:A27" si="0">$C$10</x:f>
        <x:v>論文誌</x:v>
      </x:c>
      <x:c r="B18" s="2">
        <x:v>1</x:v>
      </x:c>
      <x:c r="C18" s="4" t="s">
        <x:v>161</x:v>
      </x:c>
      <x:c r="D18" s="4"/>
      <x:c r="E18" s="2" t="str">
        <x:f>IF(OR($B$2="いいえ",$B$10="いいえ"),"削除予定",IF(AND(C18="",D18=""),"削除予定",IF(C18="佐藤 太郎, 佐藤真理子, 吉田章: 「組み込みシステムにおける人工知能の応用と性能改善」, 全国人工知能研究学会論文誌, 第39巻2号, (2024).","要編集",IF(C18="","未入力","OK"))))</x:f>
        <x:v>要編集</x:v>
      </x:c>
    </x:row>
    <x:row r="19" ht="25.399999618530273" customHeight="1">
      <x:c r="A19" s="2" t="str">
        <x:f t="shared" si="0"/>
        <x:v>論文誌</x:v>
      </x:c>
      <x:c r="B19" s="2">
        <x:v>2</x:v>
      </x:c>
      <x:c r="C19" s="4" t="s">
        <x:v>162</x:v>
      </x:c>
      <x:c r="D19" s="4"/>
      <x:c r="E19" s="2" t="str">
        <x:f t="shared" ref="E19:E24" si="1">IF(OR($B$2="いいえ",$B$10="いいえ"),"削除予定",IF(AND(C19="",D19=""),"削除予定",IF(C19="論文誌_リスト","要編集",IF(C19="","未入力","OK"))))</x:f>
        <x:v>要編集</x:v>
      </x:c>
    </x:row>
    <x:row r="20" ht="25.399999618530273" customHeight="1">
      <x:c r="A20" s="2" t="str">
        <x:f t="shared" si="0"/>
        <x:v>論文誌</x:v>
      </x:c>
      <x:c r="B20" s="2">
        <x:v>3</x:v>
      </x:c>
      <x:c r="C20" s="4" t="s">
        <x:v>162</x:v>
      </x:c>
      <x:c r="D20" s="4"/>
      <x:c r="E20" s="2" t="str">
        <x:f t="shared" si="1"/>
        <x:v>要編集</x:v>
      </x:c>
    </x:row>
    <x:row r="21" ht="25.399999618530273" customHeight="1">
      <x:c r="A21" s="2" t="str">
        <x:f t="shared" si="0"/>
        <x:v>論文誌</x:v>
      </x:c>
      <x:c r="B21" s="2">
        <x:v>4</x:v>
      </x:c>
      <x:c r="C21" s="4" t="s">
        <x:v>162</x:v>
      </x:c>
      <x:c r="D21" s="4"/>
      <x:c r="E21" s="2" t="str">
        <x:f t="shared" si="1"/>
        <x:v>要編集</x:v>
      </x:c>
    </x:row>
    <x:row r="22" ht="25.399999618530273" customHeight="1">
      <x:c r="A22" s="2" t="str">
        <x:f t="shared" si="0"/>
        <x:v>論文誌</x:v>
      </x:c>
      <x:c r="B22" s="2">
        <x:v>5</x:v>
      </x:c>
      <x:c r="C22" s="4" t="s">
        <x:v>162</x:v>
      </x:c>
      <x:c r="D22" s="4"/>
      <x:c r="E22" s="2" t="str">
        <x:f t="shared" si="1"/>
        <x:v>要編集</x:v>
      </x:c>
    </x:row>
    <x:row r="23" ht="25.399999618530273" customHeight="1">
      <x:c r="A23" s="2" t="str">
        <x:f t="shared" si="0"/>
        <x:v>論文誌</x:v>
      </x:c>
      <x:c r="B23" s="2">
        <x:v>6</x:v>
      </x:c>
      <x:c r="C23" s="4" t="s">
        <x:v>162</x:v>
      </x:c>
      <x:c r="D23" s="4"/>
      <x:c r="E23" s="2" t="str">
        <x:f t="shared" si="1"/>
        <x:v>要編集</x:v>
      </x:c>
    </x:row>
    <x:row r="24" ht="25.399999618530273" customHeight="1">
      <x:c r="A24" s="2" t="str">
        <x:f t="shared" si="0"/>
        <x:v>論文誌</x:v>
      </x:c>
      <x:c r="B24" s="2">
        <x:v>7</x:v>
      </x:c>
      <x:c r="C24" s="4" t="s">
        <x:v>162</x:v>
      </x:c>
      <x:c r="D24" s="4"/>
      <x:c r="E24" s="2" t="str">
        <x:f t="shared" si="1"/>
        <x:v>要編集</x:v>
      </x:c>
    </x:row>
    <x:row r="25" ht="25.399999618530273" customHeight="1">
      <x:c r="A25" s="2" t="str">
        <x:f t="shared" si="0"/>
        <x:v>論文誌</x:v>
      </x:c>
      <x:c r="B25" s="2">
        <x:v>8</x:v>
      </x:c>
      <x:c r="C25" s="4"/>
      <x:c r="D25" s="4"/>
      <x:c r="E25" s="2" t="str">
        <x:f>IF(OR($B$2="いいえ",$B$10="いいえ"),"削除予定",IF(AND(C25="",D25=""),"削除予定",IF(C25="","未入力","OK")))</x:f>
        <x:v>削除予定</x:v>
      </x:c>
    </x:row>
    <x:row r="26" ht="25.399999618530273" customHeight="1">
      <x:c r="A26" s="2" t="str">
        <x:f t="shared" si="0"/>
        <x:v>論文誌</x:v>
      </x:c>
      <x:c r="B26" s="2">
        <x:v>9</x:v>
      </x:c>
      <x:c r="C26" s="4"/>
      <x:c r="D26" s="4"/>
      <x:c r="E26" s="2" t="str">
        <x:f>IF(OR($B$2="いいえ",$B$10="いいえ"),"削除予定",IF(AND(C26="",D26=""),"削除予定",IF(C26="","未入力","OK")))</x:f>
        <x:v>削除予定</x:v>
      </x:c>
    </x:row>
    <x:row r="27" ht="25.399999618530273" customHeight="1">
      <x:c r="A27" s="2" t="str">
        <x:f t="shared" si="0"/>
        <x:v>論文誌</x:v>
      </x:c>
      <x:c r="B27" s="2">
        <x:v>10</x:v>
      </x:c>
      <x:c r="C27" s="4"/>
      <x:c r="D27" s="4"/>
      <x:c r="E27" s="2" t="str">
        <x:f>IF(OR($B$2="いいえ",$B$10="いいえ"),"削除予定",IF(AND(C27="",D27=""),"削除予定",IF(C27="","未入力","OK")))</x:f>
        <x:v>削除予定</x:v>
      </x:c>
    </x:row>
    <x:row r="28" ht="25.399999618530273" customHeight="1">
      <x:c r="A28" s="2" t="str">
        <x:f t="shared" ref="A28:A37" si="2">$C$11</x:f>
        <x:v>学会発表</x:v>
      </x:c>
      <x:c r="B28" s="2">
        <x:v>1</x:v>
      </x:c>
      <x:c r="C28" s="4" t="s">
        <x:v>163</x:v>
      </x:c>
      <x:c r="D28" s="4"/>
      <x:c r="E28" s="2" t="str">
        <x:f t="shared" ref="E28:E37" si="3">IF(OR($B$2="いいえ",$B$11="いいえ"),"削除予定",IF(AND(C28="",D28=""),"削除予定",IF(C28="学会発表_リスト","要編集",IF(C28="","未入力","OK"))))</x:f>
        <x:v>要編集</x:v>
      </x:c>
    </x:row>
    <x:row r="29" ht="25.399999618530273" customHeight="1">
      <x:c r="A29" s="2" t="str">
        <x:f t="shared" si="2"/>
        <x:v>学会発表</x:v>
      </x:c>
      <x:c r="B29" s="2">
        <x:v>2</x:v>
      </x:c>
      <x:c r="C29" s="4" t="s">
        <x:v>163</x:v>
      </x:c>
      <x:c r="D29" s="4"/>
      <x:c r="E29" s="2" t="str">
        <x:f t="shared" si="3"/>
        <x:v>要編集</x:v>
      </x:c>
    </x:row>
    <x:row r="30" ht="25.399999618530273" customHeight="1">
      <x:c r="A30" s="2" t="str">
        <x:f t="shared" si="2"/>
        <x:v>学会発表</x:v>
      </x:c>
      <x:c r="B30" s="2">
        <x:v>3</x:v>
      </x:c>
      <x:c r="C30" s="4" t="s">
        <x:v>163</x:v>
      </x:c>
      <x:c r="D30" s="4"/>
      <x:c r="E30" s="2" t="str">
        <x:f t="shared" si="3"/>
        <x:v>要編集</x:v>
      </x:c>
    </x:row>
    <x:row r="31" ht="25.399999618530273" customHeight="1">
      <x:c r="A31" s="2" t="str">
        <x:f t="shared" si="2"/>
        <x:v>学会発表</x:v>
      </x:c>
      <x:c r="B31" s="2">
        <x:v>4</x:v>
      </x:c>
      <x:c r="C31" s="4" t="s">
        <x:v>163</x:v>
      </x:c>
      <x:c r="D31" s="4"/>
      <x:c r="E31" s="2" t="str">
        <x:f t="shared" si="3"/>
        <x:v>要編集</x:v>
      </x:c>
    </x:row>
    <x:row r="32" ht="25.399999618530273" customHeight="1">
      <x:c r="A32" s="2" t="str">
        <x:f t="shared" si="2"/>
        <x:v>学会発表</x:v>
      </x:c>
      <x:c r="B32" s="2">
        <x:v>5</x:v>
      </x:c>
      <x:c r="C32" s="4" t="s">
        <x:v>163</x:v>
      </x:c>
      <x:c r="D32" s="4"/>
      <x:c r="E32" s="2" t="str">
        <x:f t="shared" si="3"/>
        <x:v>要編集</x:v>
      </x:c>
    </x:row>
    <x:row r="33" ht="25.399999618530273" customHeight="1">
      <x:c r="A33" s="2" t="str">
        <x:f t="shared" si="2"/>
        <x:v>学会発表</x:v>
      </x:c>
      <x:c r="B33" s="2">
        <x:v>6</x:v>
      </x:c>
      <x:c r="C33" s="4" t="s">
        <x:v>163</x:v>
      </x:c>
      <x:c r="D33" s="4"/>
      <x:c r="E33" s="2" t="str">
        <x:f t="shared" si="3"/>
        <x:v>要編集</x:v>
      </x:c>
    </x:row>
    <x:row r="34" ht="25.399999618530273" customHeight="1">
      <x:c r="A34" s="2" t="str">
        <x:f t="shared" si="2"/>
        <x:v>学会発表</x:v>
      </x:c>
      <x:c r="B34" s="2">
        <x:v>7</x:v>
      </x:c>
      <x:c r="C34" s="4" t="s">
        <x:v>163</x:v>
      </x:c>
      <x:c r="D34" s="4"/>
      <x:c r="E34" s="2" t="str">
        <x:f t="shared" si="3"/>
        <x:v>要編集</x:v>
      </x:c>
    </x:row>
    <x:row r="35" ht="25.399999618530273" customHeight="1">
      <x:c r="A35" s="2" t="str">
        <x:f t="shared" si="2"/>
        <x:v>学会発表</x:v>
      </x:c>
      <x:c r="B35" s="2">
        <x:v>8</x:v>
      </x:c>
      <x:c r="C35" s="4" t="s">
        <x:v>163</x:v>
      </x:c>
      <x:c r="D35" s="4"/>
      <x:c r="E35" s="2" t="str">
        <x:f t="shared" si="3"/>
        <x:v>要編集</x:v>
      </x:c>
    </x:row>
    <x:row r="36" ht="25.399999618530273" customHeight="1">
      <x:c r="A36" s="2" t="str">
        <x:f t="shared" si="2"/>
        <x:v>学会発表</x:v>
      </x:c>
      <x:c r="B36" s="2">
        <x:v>9</x:v>
      </x:c>
      <x:c r="C36" s="4" t="s">
        <x:v>163</x:v>
      </x:c>
      <x:c r="D36" s="4"/>
      <x:c r="E36" s="2" t="str">
        <x:f t="shared" si="3"/>
        <x:v>要編集</x:v>
      </x:c>
    </x:row>
    <x:row r="37" ht="25.399999618530273" customHeight="1">
      <x:c r="A37" s="2" t="str">
        <x:f t="shared" si="2"/>
        <x:v>学会発表</x:v>
      </x:c>
      <x:c r="B37" s="2">
        <x:v>10</x:v>
      </x:c>
      <x:c r="C37" s="4" t="s">
        <x:v>163</x:v>
      </x:c>
      <x:c r="D37" s="4"/>
      <x:c r="E37" s="2" t="str">
        <x:f t="shared" si="3"/>
        <x:v>要編集</x:v>
      </x:c>
    </x:row>
    <x:row r="38" ht="25.399999618530273" customHeight="1">
      <x:c r="A38" s="2" t="str">
        <x:f t="shared" ref="A38:A47" si="4">$C$12</x:f>
        <x:v>外部記事</x:v>
      </x:c>
      <x:c r="B38" s="2">
        <x:v>1</x:v>
      </x:c>
      <x:c r="C38" s="4" t="s">
        <x:v>164</x:v>
      </x:c>
      <x:c r="D38" s="4"/>
      <x:c r="E38" s="2" t="str">
        <x:f t="shared" ref="E38:E47" si="5">IF(OR($B$2="いいえ",$B$12="いいえ"),"削除予定",IF(AND(C38="",D38=""),"削除予定",IF(C38="外部記事_リスト","要編集",IF(C38="","未入力","OK"))))</x:f>
        <x:v>要編集</x:v>
      </x:c>
    </x:row>
    <x:row r="39" ht="25.399999618530273" customHeight="1">
      <x:c r="A39" s="2" t="str">
        <x:f t="shared" si="4"/>
        <x:v>外部記事</x:v>
      </x:c>
      <x:c r="B39" s="2">
        <x:v>2</x:v>
      </x:c>
      <x:c r="C39" s="4" t="s">
        <x:v>164</x:v>
      </x:c>
      <x:c r="D39" s="4"/>
      <x:c r="E39" s="2" t="str">
        <x:f t="shared" si="5"/>
        <x:v>要編集</x:v>
      </x:c>
    </x:row>
    <x:row r="40" ht="25.399999618530273" customHeight="1">
      <x:c r="A40" s="2" t="str">
        <x:f t="shared" si="4"/>
        <x:v>外部記事</x:v>
      </x:c>
      <x:c r="B40" s="2">
        <x:v>3</x:v>
      </x:c>
      <x:c r="C40" s="4" t="s">
        <x:v>164</x:v>
      </x:c>
      <x:c r="D40" s="4"/>
      <x:c r="E40" s="2" t="str">
        <x:f t="shared" si="5"/>
        <x:v>要編集</x:v>
      </x:c>
    </x:row>
    <x:row r="41" ht="25.399999618530273" customHeight="1">
      <x:c r="A41" s="2" t="str">
        <x:f t="shared" si="4"/>
        <x:v>外部記事</x:v>
      </x:c>
      <x:c r="B41" s="2">
        <x:v>4</x:v>
      </x:c>
      <x:c r="C41" s="4" t="s">
        <x:v>164</x:v>
      </x:c>
      <x:c r="D41" s="4"/>
      <x:c r="E41" s="2" t="str">
        <x:f t="shared" si="5"/>
        <x:v>要編集</x:v>
      </x:c>
    </x:row>
    <x:row r="42" ht="25.399999618530273" customHeight="1">
      <x:c r="A42" s="2" t="str">
        <x:f t="shared" si="4"/>
        <x:v>外部記事</x:v>
      </x:c>
      <x:c r="B42" s="2">
        <x:v>5</x:v>
      </x:c>
      <x:c r="C42" s="4" t="s">
        <x:v>164</x:v>
      </x:c>
      <x:c r="D42" s="4"/>
      <x:c r="E42" s="2" t="str">
        <x:f t="shared" si="5"/>
        <x:v>要編集</x:v>
      </x:c>
    </x:row>
    <x:row r="43" ht="25.399999618530273" customHeight="1">
      <x:c r="A43" s="2" t="str">
        <x:f t="shared" si="4"/>
        <x:v>外部記事</x:v>
      </x:c>
      <x:c r="B43" s="2">
        <x:v>6</x:v>
      </x:c>
      <x:c r="C43" s="4" t="s">
        <x:v>164</x:v>
      </x:c>
      <x:c r="D43" s="4"/>
      <x:c r="E43" s="2" t="str">
        <x:f t="shared" si="5"/>
        <x:v>要編集</x:v>
      </x:c>
    </x:row>
    <x:row r="44" ht="25.399999618530273" customHeight="1">
      <x:c r="A44" s="2" t="str">
        <x:f t="shared" si="4"/>
        <x:v>外部記事</x:v>
      </x:c>
      <x:c r="B44" s="2">
        <x:v>7</x:v>
      </x:c>
      <x:c r="C44" s="4" t="s">
        <x:v>164</x:v>
      </x:c>
      <x:c r="D44" s="4"/>
      <x:c r="E44" s="2" t="str">
        <x:f t="shared" si="5"/>
        <x:v>要編集</x:v>
      </x:c>
    </x:row>
    <x:row r="45" ht="25.399999618530273" customHeight="1">
      <x:c r="A45" s="2" t="str">
        <x:f t="shared" si="4"/>
        <x:v>外部記事</x:v>
      </x:c>
      <x:c r="B45" s="2">
        <x:v>8</x:v>
      </x:c>
      <x:c r="C45" s="4" t="s">
        <x:v>164</x:v>
      </x:c>
      <x:c r="D45" s="4"/>
      <x:c r="E45" s="2" t="str">
        <x:f t="shared" si="5"/>
        <x:v>要編集</x:v>
      </x:c>
    </x:row>
    <x:row r="46" ht="25.399999618530273" customHeight="1">
      <x:c r="A46" s="2" t="str">
        <x:f t="shared" si="4"/>
        <x:v>外部記事</x:v>
      </x:c>
      <x:c r="B46" s="2">
        <x:v>9</x:v>
      </x:c>
      <x:c r="C46" s="4" t="s">
        <x:v>164</x:v>
      </x:c>
      <x:c r="D46" s="4"/>
      <x:c r="E46" s="2" t="str">
        <x:f t="shared" si="5"/>
        <x:v>要編集</x:v>
      </x:c>
    </x:row>
    <x:row r="47" ht="25.399999618530273" customHeight="1">
      <x:c r="A47" s="2" t="str">
        <x:f t="shared" si="4"/>
        <x:v>外部記事</x:v>
      </x:c>
      <x:c r="B47" s="2">
        <x:v>10</x:v>
      </x:c>
      <x:c r="C47" s="4" t="s">
        <x:v>164</x:v>
      </x:c>
      <x:c r="D47" s="4"/>
      <x:c r="E47" s="2" t="str">
        <x:f t="shared" si="5"/>
        <x:v>要編集</x:v>
      </x:c>
    </x:row>
    <x:row r="48" ht="25.399999618530273" customHeight="1">
      <x:c r="A48" s="2" t="str">
        <x:f t="shared" ref="A48:A57" si="6">$C$13</x:f>
        <x:v>書籍</x:v>
      </x:c>
      <x:c r="B48" s="2">
        <x:v>1</x:v>
      </x:c>
      <x:c r="C48" s="4" t="s">
        <x:v>165</x:v>
      </x:c>
      <x:c r="D48" s="4"/>
      <x:c r="E48" s="2" t="str">
        <x:f t="shared" ref="E48:E57" si="7">IF(OR($B$2="いいえ",$B$13="いいえ"),"削除予定",IF(AND(C48="",D48=""),"削除予定",IF(C48="書籍_リスト","要編集",IF(C48="","未入力","OK"))))</x:f>
        <x:v>要編集</x:v>
      </x:c>
    </x:row>
    <x:row r="49" ht="25.399999618530273" customHeight="1">
      <x:c r="A49" s="2" t="str">
        <x:f t="shared" si="6"/>
        <x:v>書籍</x:v>
      </x:c>
      <x:c r="B49" s="2">
        <x:v>2</x:v>
      </x:c>
      <x:c r="C49" s="4" t="s">
        <x:v>165</x:v>
      </x:c>
      <x:c r="D49" s="4"/>
      <x:c r="E49" s="2" t="str">
        <x:f t="shared" si="7"/>
        <x:v>要編集</x:v>
      </x:c>
    </x:row>
    <x:row r="50" ht="25.399999618530273" customHeight="1">
      <x:c r="A50" s="2" t="str">
        <x:f t="shared" si="6"/>
        <x:v>書籍</x:v>
      </x:c>
      <x:c r="B50" s="2">
        <x:v>3</x:v>
      </x:c>
      <x:c r="C50" s="4" t="s">
        <x:v>165</x:v>
      </x:c>
      <x:c r="D50" s="4"/>
      <x:c r="E50" s="2" t="str">
        <x:f t="shared" si="7"/>
        <x:v>要編集</x:v>
      </x:c>
    </x:row>
    <x:row r="51" ht="25.399999618530273" customHeight="1">
      <x:c r="A51" s="2" t="str">
        <x:f t="shared" si="6"/>
        <x:v>書籍</x:v>
      </x:c>
      <x:c r="B51" s="2">
        <x:v>4</x:v>
      </x:c>
      <x:c r="C51" s="4" t="s">
        <x:v>165</x:v>
      </x:c>
      <x:c r="D51" s="4"/>
      <x:c r="E51" s="2" t="str">
        <x:f t="shared" si="7"/>
        <x:v>要編集</x:v>
      </x:c>
    </x:row>
    <x:row r="52" ht="25.399999618530273" customHeight="1">
      <x:c r="A52" s="2" t="str">
        <x:f t="shared" si="6"/>
        <x:v>書籍</x:v>
      </x:c>
      <x:c r="B52" s="2">
        <x:v>5</x:v>
      </x:c>
      <x:c r="C52" s="4" t="s">
        <x:v>165</x:v>
      </x:c>
      <x:c r="D52" s="4"/>
      <x:c r="E52" s="2" t="str">
        <x:f t="shared" si="7"/>
        <x:v>要編集</x:v>
      </x:c>
    </x:row>
    <x:row r="53" ht="25.399999618530273" customHeight="1">
      <x:c r="A53" s="2" t="str">
        <x:f t="shared" si="6"/>
        <x:v>書籍</x:v>
      </x:c>
      <x:c r="B53" s="2">
        <x:v>6</x:v>
      </x:c>
      <x:c r="C53" s="4" t="s">
        <x:v>165</x:v>
      </x:c>
      <x:c r="D53" s="4"/>
      <x:c r="E53" s="2" t="str">
        <x:f t="shared" si="7"/>
        <x:v>要編集</x:v>
      </x:c>
    </x:row>
    <x:row r="54" ht="25.399999618530273" customHeight="1">
      <x:c r="A54" s="2" t="str">
        <x:f t="shared" si="6"/>
        <x:v>書籍</x:v>
      </x:c>
      <x:c r="B54" s="2">
        <x:v>7</x:v>
      </x:c>
      <x:c r="C54" s="4" t="s">
        <x:v>165</x:v>
      </x:c>
      <x:c r="D54" s="4"/>
      <x:c r="E54" s="2" t="str">
        <x:f t="shared" si="7"/>
        <x:v>要編集</x:v>
      </x:c>
    </x:row>
    <x:row r="55" ht="25.399999618530273" customHeight="1">
      <x:c r="A55" s="2" t="str">
        <x:f t="shared" si="6"/>
        <x:v>書籍</x:v>
      </x:c>
      <x:c r="B55" s="2">
        <x:v>8</x:v>
      </x:c>
      <x:c r="C55" s="4" t="s">
        <x:v>165</x:v>
      </x:c>
      <x:c r="D55" s="4"/>
      <x:c r="E55" s="2" t="str">
        <x:f t="shared" si="7"/>
        <x:v>要編集</x:v>
      </x:c>
    </x:row>
    <x:row r="56" ht="25.399999618530273" customHeight="1">
      <x:c r="A56" s="2" t="str">
        <x:f t="shared" si="6"/>
        <x:v>書籍</x:v>
      </x:c>
      <x:c r="B56" s="2">
        <x:v>9</x:v>
      </x:c>
      <x:c r="C56" s="4" t="s">
        <x:v>165</x:v>
      </x:c>
      <x:c r="D56" s="4"/>
      <x:c r="E56" s="2" t="str">
        <x:f t="shared" si="7"/>
        <x:v>要編集</x:v>
      </x:c>
    </x:row>
    <x:row r="57" ht="25.399999618530273" customHeight="1">
      <x:c r="A57" s="2" t="str">
        <x:f t="shared" si="6"/>
        <x:v>書籍</x:v>
      </x:c>
      <x:c r="B57" s="2">
        <x:v>10</x:v>
      </x:c>
      <x:c r="C57" s="4" t="s">
        <x:v>165</x:v>
      </x:c>
      <x:c r="D57" s="4"/>
      <x:c r="E57" s="2" t="str">
        <x:f t="shared" si="7"/>
        <x:v>要編集</x:v>
      </x:c>
    </x:row>
    <x:row r="58" ht="25.399999618530273" customHeight="1">
      <x:c r="A58" s="2" t="str">
        <x:f t="shared" ref="A58:A67" si="8">$C$14</x:f>
        <x:v>その他</x:v>
      </x:c>
      <x:c r="B58" s="2">
        <x:v>1</x:v>
      </x:c>
      <x:c r="C58" s="4" t="s">
        <x:v>166</x:v>
      </x:c>
      <x:c r="D58" s="4"/>
      <x:c r="E58" s="2" t="str">
        <x:f t="shared" ref="E58:E67" si="9">IF(OR($B$2="いいえ",$B$14="いいえ"),"削除予定",IF(AND(C58="",D58=""),"削除予定",IF(C58="その他_リスト","要編集",IF(C58="","未入力","OK"))))</x:f>
        <x:v>要編集</x:v>
      </x:c>
    </x:row>
    <x:row r="59" ht="25.399999618530273" customHeight="1">
      <x:c r="A59" s="2" t="str">
        <x:f t="shared" si="8"/>
        <x:v>その他</x:v>
      </x:c>
      <x:c r="B59" s="2">
        <x:v>2</x:v>
      </x:c>
      <x:c r="C59" s="4" t="s">
        <x:v>166</x:v>
      </x:c>
      <x:c r="D59" s="4"/>
      <x:c r="E59" s="2" t="str">
        <x:f t="shared" si="9"/>
        <x:v>要編集</x:v>
      </x:c>
    </x:row>
    <x:row r="60" ht="25.399999618530273" customHeight="1">
      <x:c r="A60" s="2" t="str">
        <x:f t="shared" si="8"/>
        <x:v>その他</x:v>
      </x:c>
      <x:c r="B60" s="2">
        <x:v>3</x:v>
      </x:c>
      <x:c r="C60" s="4" t="s">
        <x:v>166</x:v>
      </x:c>
      <x:c r="D60" s="4"/>
      <x:c r="E60" s="2" t="str">
        <x:f t="shared" si="9"/>
        <x:v>要編集</x:v>
      </x:c>
    </x:row>
    <x:row r="61" ht="25.399999618530273" customHeight="1">
      <x:c r="A61" s="2" t="str">
        <x:f t="shared" si="8"/>
        <x:v>その他</x:v>
      </x:c>
      <x:c r="B61" s="2">
        <x:v>4</x:v>
      </x:c>
      <x:c r="C61" s="4" t="s">
        <x:v>166</x:v>
      </x:c>
      <x:c r="D61" s="4"/>
      <x:c r="E61" s="2" t="str">
        <x:f t="shared" si="9"/>
        <x:v>要編集</x:v>
      </x:c>
    </x:row>
    <x:row r="62" ht="25.399999618530273" customHeight="1">
      <x:c r="A62" s="2" t="str">
        <x:f t="shared" si="8"/>
        <x:v>その他</x:v>
      </x:c>
      <x:c r="B62" s="2">
        <x:v>5</x:v>
      </x:c>
      <x:c r="C62" s="4" t="s">
        <x:v>166</x:v>
      </x:c>
      <x:c r="D62" s="4"/>
      <x:c r="E62" s="2" t="str">
        <x:f t="shared" si="9"/>
        <x:v>要編集</x:v>
      </x:c>
    </x:row>
    <x:row r="63" ht="25.399999618530273" customHeight="1">
      <x:c r="A63" s="2" t="str">
        <x:f t="shared" si="8"/>
        <x:v>その他</x:v>
      </x:c>
      <x:c r="B63" s="2">
        <x:v>6</x:v>
      </x:c>
      <x:c r="C63" s="4" t="s">
        <x:v>166</x:v>
      </x:c>
      <x:c r="D63" s="4"/>
      <x:c r="E63" s="2" t="str">
        <x:f t="shared" si="9"/>
        <x:v>要編集</x:v>
      </x:c>
    </x:row>
    <x:row r="64" ht="25.399999618530273" customHeight="1">
      <x:c r="A64" s="2" t="str">
        <x:f t="shared" si="8"/>
        <x:v>その他</x:v>
      </x:c>
      <x:c r="B64" s="2">
        <x:v>7</x:v>
      </x:c>
      <x:c r="C64" s="4" t="s">
        <x:v>166</x:v>
      </x:c>
      <x:c r="D64" s="4"/>
      <x:c r="E64" s="2" t="str">
        <x:f t="shared" si="9"/>
        <x:v>要編集</x:v>
      </x:c>
    </x:row>
    <x:row r="65" ht="25.399999618530273" customHeight="1">
      <x:c r="A65" s="2" t="str">
        <x:f t="shared" si="8"/>
        <x:v>その他</x:v>
      </x:c>
      <x:c r="B65" s="2">
        <x:v>8</x:v>
      </x:c>
      <x:c r="C65" s="4" t="s">
        <x:v>166</x:v>
      </x:c>
      <x:c r="D65" s="4"/>
      <x:c r="E65" s="2" t="str">
        <x:f t="shared" si="9"/>
        <x:v>要編集</x:v>
      </x:c>
    </x:row>
    <x:row r="66" ht="25.399999618530273" customHeight="1">
      <x:c r="A66" s="2" t="str">
        <x:f t="shared" si="8"/>
        <x:v>その他</x:v>
      </x:c>
      <x:c r="B66" s="2">
        <x:v>9</x:v>
      </x:c>
      <x:c r="C66" s="4" t="s">
        <x:v>166</x:v>
      </x:c>
      <x:c r="D66" s="4"/>
      <x:c r="E66" s="2" t="str">
        <x:f t="shared" si="9"/>
        <x:v>要編集</x:v>
      </x:c>
    </x:row>
    <x:row r="67" ht="25.399999618530273" customHeight="1">
      <x:c r="A67" s="2" t="str">
        <x:f t="shared" si="8"/>
        <x:v>その他</x:v>
      </x:c>
      <x:c r="B67" s="2">
        <x:v>10</x:v>
      </x:c>
      <x:c r="C67" s="4" t="s">
        <x:v>166</x:v>
      </x:c>
      <x:c r="D67" s="4"/>
      <x:c r="E67" s="2" t="str">
        <x:f t="shared" si="9"/>
        <x:v>要編集</x:v>
      </x:c>
    </x:row>
    <x:row r="68">
      <x:c r="A68" s="2"/>
      <x:c r="B68" s="2"/>
      <x:c r="C68" s="2"/>
      <x:c r="D68" s="2"/>
      <x:c r="E68" s="2"/>
    </x:row>
    <x:row r="69" ht="17.399999618530273" customHeight="1">
      <x:c r="A69" s="9" t="s">
        <x:v>167</x:v>
      </x:c>
      <x:c r="B69" s="9"/>
      <x:c r="C69" s="9"/>
      <x:c r="D69" s="9"/>
      <x:c r="E69" s="9"/>
    </x:row>
    <x:row r="70" ht="17.399999618530273" customHeight="1">
      <x:c r="A70" s="9"/>
      <x:c r="B70" s="9"/>
      <x:c r="C70" s="9"/>
      <x:c r="D70" s="9"/>
      <x:c r="E70" s="9"/>
    </x:row>
    <x:row r="71" ht="17.399999618530273" customHeight="1">
      <x:c r="A71" s="9"/>
      <x:c r="B71" s="9"/>
      <x:c r="C71" s="9"/>
      <x:c r="D71" s="9"/>
      <x:c r="E71" s="9"/>
    </x:row>
  </x:sheetData>
  <x:mergeCells>
    <x:mergeCell ref="A1:E1"/>
    <x:mergeCell ref="C2:E2"/>
    <x:mergeCell ref="C3:E3"/>
    <x:mergeCell ref="A7:E7"/>
    <x:mergeCell ref="A69:E71"/>
  </x:mergeCells>
  <x:conditionalFormatting sqref="C5:C5">
    <x:cfRule type="expression" dxfId="23" priority="4">
      <x:formula>OR(A1="要編集",A1="未入力",LEFT(A1,5)="ERROR")</x:formula>
    </x:cfRule>
    <x:cfRule type="expression" dxfId="22" priority="5">
      <x:formula>A1="OK"</x:formula>
    </x:cfRule>
    <x:cfRule type="expression" dxfId="21" priority="6">
      <x:formula>A1="削除予定"</x:formula>
    </x:cfRule>
  </x:conditionalFormatting>
  <x:conditionalFormatting sqref="E18:E67">
    <x:cfRule type="expression" dxfId="20" priority="1">
      <x:formula>OR(A1="要編集",A1="未入力",LEFT(A1,5)="ERROR")</x:formula>
    </x:cfRule>
    <x:cfRule type="expression" dxfId="19" priority="2">
      <x:formula>A1="OK"</x:formula>
    </x:cfRule>
    <x:cfRule type="expression" dxfId="18" priority="3">
      <x:formula>A1="削除予定"</x:formula>
    </x:cfRule>
  </x:conditionalFormatting>
  <x:dataValidations count="1">
    <x:dataValidation type="list" sqref="B2 B10:B14">
      <x:formula1>"はい,いいえ"</x:formula1>
    </x:dataValidation>
  </x:dataValidations>
  <x:pageMargins left="0.7" right="0.7" top="0.75" bottom="0.75" header="0.3" footer="0.3"/>
</x:worksheet>
</file>

<file path=xl/worksheets/sheet9.xml><?xml version="1.0" encoding="utf-8"?>
<x:worksheet xmlns:x="http://schemas.openxmlformats.org/spreadsheetml/2006/main">
  <x:sheetFormatPr defaultRowHeight="14"/>
  <x:cols>
    <x:col min="1" max="1" width="30" customWidth="1"/>
    <x:col min="2" max="2" width="88" customWidth="1"/>
    <x:col min="3" max="3" width="16" customWidth="1"/>
    <x:col min="4" max="4" width="52" customWidth="1"/>
    <x:col min="5" max="5" width="2" customWidth="1"/>
  </x:cols>
  <x:sheetData>
    <x:row r="1" ht="20" customHeight="1">
      <x:c r="A1" s="8" t="s">
        <x:v>168</x:v>
      </x:c>
      <x:c r="B1" s="8"/>
      <x:c r="C1" s="8"/>
      <x:c r="D1" s="8"/>
      <x:c r="E1" s="8"/>
    </x:row>
    <x:row r="2" ht="18.649999618530273" customHeight="1">
      <x:c r="A2" s="3" t="s">
        <x:v>67</x:v>
      </x:c>
      <x:c r="B2" s="4" t="s">
        <x:v>68</x:v>
      </x:c>
      <x:c r="C2" s="9" t="s">
        <x:v>69</x:v>
      </x:c>
      <x:c r="D2" s="9"/>
      <x:c r="E2" s="9"/>
    </x:row>
    <x:row r="3" ht="18.649999618530273" customHeight="1">
      <x:c r="A3" s="3" t="s">
        <x:v>70</x:v>
      </x:c>
      <x:c r="B3" s="4" t="s">
        <x:v>38</x:v>
      </x:c>
      <x:c r="C3" s="9" t="s">
        <x:v>71</x:v>
      </x:c>
      <x:c r="D3" s="9"/>
      <x:c r="E3" s="9"/>
    </x:row>
    <x:row r="4">
      <x:c r="A4" s="2"/>
      <x:c r="B4" s="2"/>
      <x:c r="C4" s="2"/>
      <x:c r="D4" s="2"/>
      <x:c r="E4" s="2"/>
    </x:row>
    <x:row r="5">
      <x:c r="A5" s="3" t="s">
        <x:v>47</x:v>
      </x:c>
      <x:c r="B5" s="2"/>
      <x:c r="C5" s="2" t="str">
        <x:f>IF(B2="いいえ","削除予定",IF(COUNTIF(C10:C13,"要編集")+COUNTIF(C10:C13,"未入力")+COUNTIF(C17:C18,"要編集")+COUNTIF(C17:C18,"未入力")&gt;0,"ERROR: 要編集あり","OK"))</x:f>
        <x:v>ERROR: 要編集あり</x:v>
      </x:c>
      <x:c r="D5" s="2"/>
      <x:c r="E5" s="2"/>
    </x:row>
    <x:row r="6">
      <x:c r="A6" s="2"/>
      <x:c r="B6" s="2"/>
      <x:c r="C6" s="2"/>
      <x:c r="D6" s="2"/>
      <x:c r="E6" s="2"/>
    </x:row>
    <x:row r="7" ht="32" customHeight="1">
      <x:c r="A7" s="10" t="s">
        <x:v>169</x:v>
      </x:c>
      <x:c r="B7" s="10"/>
      <x:c r="C7" s="10"/>
      <x:c r="D7" s="10"/>
      <x:c r="E7" s="10"/>
    </x:row>
    <x:row r="8">
      <x:c r="A8" s="2"/>
      <x:c r="B8" s="2"/>
      <x:c r="C8" s="2"/>
      <x:c r="D8" s="2"/>
      <x:c r="E8" s="2"/>
    </x:row>
    <x:row r="9" ht="20" customHeight="1">
      <x:c r="A9" s="1" t="s">
        <x:v>48</x:v>
      </x:c>
      <x:c r="B9" s="1" t="s">
        <x:v>49</x:v>
      </x:c>
      <x:c r="C9" s="1" t="s">
        <x:v>50</x:v>
      </x:c>
      <x:c r="D9" s="1" t="s">
        <x:v>52</x:v>
      </x:c>
      <x:c r="E9" s="2"/>
    </x:row>
    <x:row r="10" ht="28" customHeight="1">
      <x:c r="A10" s="2" t="s">
        <x:v>170</x:v>
      </x:c>
      <x:c r="B10" s="4" t="s">
        <x:v>171</x:v>
      </x:c>
      <x:c r="C10" s="2" t="str">
        <x:f>IF($B$2="いいえ","削除予定",IF(B10="","未入力",IF(B10="「コミュニケーションデザインラボ - 佐藤研究室」では学生の研究生を募集しています。興味がある方はお気軽にご連絡ください。","要編集","OK")))</x:f>
        <x:v>要編集</x:v>
      </x:c>
      <x:c r="D10" s="2" t="s">
        <x:v>172</x:v>
      </x:c>
      <x:c r="E10" s="2"/>
    </x:row>
    <x:row r="11" ht="28" customHeight="1">
      <x:c r="A11" s="2" t="s">
        <x:v>173</x:v>
      </x:c>
      <x:c r="B11" s="4" t="s">
        <x:v>174</x:v>
      </x:c>
      <x:c r="C11" s="2" t="str">
        <x:f>IF($B$2="いいえ","削除予定",IF(B11="","未入力",IF(B11="sample@test.co.jp","要編集","OK")))</x:f>
        <x:v>要編集</x:v>
      </x:c>
      <x:c r="D11" s="2" t="s">
        <x:v>175</x:v>
      </x:c>
      <x:c r="E11" s="2"/>
    </x:row>
    <x:row r="12" ht="28" customHeight="1">
      <x:c r="A12" s="2" t="s">
        <x:v>176</x:v>
      </x:c>
      <x:c r="B12" s="4" t="s">
        <x:v>177</x:v>
      </x:c>
      <x:c r="C12" s="2" t="str">
        <x:f>IF($B$2="いいえ","削除予定",IF(B12="","未入力",IF(B12="〒000-0000","要編集","OK")))</x:f>
        <x:v>要編集</x:v>
      </x:c>
      <x:c r="D12" s="2"/>
      <x:c r="E12" s="2"/>
    </x:row>
    <x:row r="13" ht="28" customHeight="1">
      <x:c r="A13" s="2" t="s">
        <x:v>178</x:v>
      </x:c>
      <x:c r="B13" s="4" t="s">
        <x:v>179</x:v>
      </x:c>
      <x:c r="C13" s="2" t="str">
        <x:f>IF($B$2="いいえ","削除予定",IF(B13="","未入力",IF(B13="東京都千代田区0-0-0帝都大学千代田キャンパス3号館201号室","要編集","OK")))</x:f>
        <x:v>要編集</x:v>
      </x:c>
      <x:c r="D13" s="2"/>
      <x:c r="E13" s="2"/>
    </x:row>
    <x:row r="14">
      <x:c r="A14" s="2"/>
      <x:c r="B14" s="2"/>
      <x:c r="C14" s="2"/>
      <x:c r="D14" s="2"/>
      <x:c r="E14" s="2"/>
    </x:row>
    <x:row r="15">
      <x:c r="A15" s="2"/>
      <x:c r="B15" s="2"/>
      <x:c r="C15" s="2"/>
      <x:c r="D15" s="2"/>
      <x:c r="E15" s="2"/>
    </x:row>
    <x:row r="16" ht="20" customHeight="1">
      <x:c r="A16" s="1" t="s">
        <x:v>180</x:v>
      </x:c>
      <x:c r="B16" s="1" t="s">
        <x:v>49</x:v>
      </x:c>
      <x:c r="C16" s="1" t="s">
        <x:v>50</x:v>
      </x:c>
      <x:c r="D16" s="1" t="s">
        <x:v>181</x:v>
      </x:c>
      <x:c r="E16" s="2"/>
    </x:row>
    <x:row r="17">
      <x:c r="A17" s="2" t="s">
        <x:v>182</x:v>
      </x:c>
      <x:c r="B17" s="4" t="s">
        <x:v>68</x:v>
      </x:c>
      <x:c r="C17" s="2" t="str">
        <x:f>IF($B$2="いいえ","削除予定","OK")</x:f>
        <x:v>OK</x:v>
      </x:c>
      <x:c r="D17" s="2" t="s">
        <x:v>183</x:v>
      </x:c>
      <x:c r="E17" s="2"/>
    </x:row>
    <x:row r="18" ht="37.400001525878906" customHeight="1">
      <x:c r="A18" s="2" t="s">
        <x:v>184</x:v>
      </x:c>
      <x:c r="B18" s="4" t="s">
        <x:v>185</x:v>
      </x:c>
      <x:c r="C18" s="2" t="str">
        <x:f>IF(OR($B$2="いいえ",$B$17="いいえ"),"削除予定",IF(B18="","未入力",IF(B18="ここにGoogle Mapの「HTMLをコピー」で取得したiframeを貼り付けてください","要編集","OK")))</x:f>
        <x:v>要編集</x:v>
      </x:c>
      <x:c r="D18" s="2" t="s">
        <x:v>186</x:v>
      </x:c>
      <x:c r="E18" s="2"/>
    </x:row>
    <x:row r="19">
      <x:c r="A19" s="2"/>
      <x:c r="B19" s="2"/>
      <x:c r="C19" s="2"/>
      <x:c r="D19" s="2"/>
      <x:c r="E19" s="2"/>
    </x:row>
    <x:row r="20">
      <x:c r="A20" s="2"/>
      <x:c r="B20" s="2"/>
      <x:c r="C20" s="2"/>
      <x:c r="D20" s="2"/>
      <x:c r="E20" s="2"/>
    </x:row>
    <x:row r="21">
      <x:c r="A21" s="11" t="s">
        <x:v>187</x:v>
      </x:c>
      <x:c r="B21" s="11"/>
      <x:c r="C21" s="11"/>
      <x:c r="D21" s="11"/>
      <x:c r="E21" s="2"/>
    </x:row>
    <x:row r="22" ht="18.649999618530273" customHeight="1">
      <x:c r="A22" s="6" t="s">
        <x:v>188</x:v>
      </x:c>
      <x:c r="B22" s="6"/>
      <x:c r="C22" s="6"/>
      <x:c r="D22" s="6"/>
      <x:c r="E22" s="2"/>
    </x:row>
    <x:row r="23" ht="18.649999618530273" customHeight="1">
      <x:c r="A23" s="6"/>
      <x:c r="B23" s="6"/>
      <x:c r="C23" s="6"/>
      <x:c r="D23" s="6"/>
      <x:c r="E23" s="2"/>
    </x:row>
    <x:row r="24" ht="18.649999618530273" customHeight="1">
      <x:c r="A24" s="6"/>
      <x:c r="B24" s="6"/>
      <x:c r="C24" s="6"/>
      <x:c r="D24" s="6"/>
      <x:c r="E24" s="2"/>
    </x:row>
    <x:row r="25" ht="18.649999618530273" customHeight="1">
      <x:c r="A25" s="6"/>
      <x:c r="B25" s="6"/>
      <x:c r="C25" s="6"/>
      <x:c r="D25" s="6"/>
      <x:c r="E25" s="2"/>
    </x:row>
    <x:row r="26">
      <x:c r="A26" s="2"/>
      <x:c r="B26" s="2"/>
      <x:c r="C26" s="2"/>
      <x:c r="D26" s="2"/>
      <x:c r="E26" s="2"/>
    </x:row>
    <x:row r="27" ht="20" customHeight="1">
      <x:c r="A27" s="5" t="s">
        <x:v>189</x:v>
      </x:c>
      <x:c r="B27" s="7" t="s">
        <x:v>190</x:v>
      </x:c>
      <x:c r="C27" s="7"/>
      <x:c r="D27" s="7"/>
      <x:c r="E27" s="2"/>
    </x:row>
  </x:sheetData>
  <x:mergeCells>
    <x:mergeCell ref="A22:D25"/>
    <x:mergeCell ref="B27:D27"/>
    <x:mergeCell ref="A1:E1"/>
    <x:mergeCell ref="C2:E2"/>
    <x:mergeCell ref="C3:E3"/>
    <x:mergeCell ref="A7:E7"/>
    <x:mergeCell ref="A21:D21"/>
  </x:mergeCells>
  <x:conditionalFormatting sqref="C5:C5">
    <x:cfRule type="expression" dxfId="17" priority="10">
      <x:formula>OR(A1="要編集",A1="未入力",LEFT(A1,5)="ERROR")</x:formula>
    </x:cfRule>
    <x:cfRule type="expression" dxfId="16" priority="11">
      <x:formula>A1="OK"</x:formula>
    </x:cfRule>
    <x:cfRule type="expression" dxfId="15" priority="12">
      <x:formula>A1="削除予定"</x:formula>
    </x:cfRule>
  </x:conditionalFormatting>
  <x:conditionalFormatting sqref="C10:C13">
    <x:cfRule type="expression" dxfId="14" priority="1">
      <x:formula>OR(A1="要編集",A1="未入力",LEFT(A1,5)="ERROR")</x:formula>
    </x:cfRule>
    <x:cfRule type="expression" dxfId="13" priority="2">
      <x:formula>A1="OK"</x:formula>
    </x:cfRule>
    <x:cfRule type="expression" dxfId="12" priority="3">
      <x:formula>A1="削除予定"</x:formula>
    </x:cfRule>
  </x:conditionalFormatting>
  <x:conditionalFormatting sqref="C17:C17">
    <x:cfRule type="expression" dxfId="11" priority="4">
      <x:formula>OR(A1="要編集",A1="未入力",LEFT(A1,5)="ERROR")</x:formula>
    </x:cfRule>
    <x:cfRule type="expression" dxfId="10" priority="5">
      <x:formula>A1="OK"</x:formula>
    </x:cfRule>
    <x:cfRule type="expression" dxfId="9" priority="6">
      <x:formula>A1="削除予定"</x:formula>
    </x:cfRule>
  </x:conditionalFormatting>
  <x:conditionalFormatting sqref="C18:C18">
    <x:cfRule type="expression" dxfId="8" priority="7">
      <x:formula>OR(A1="要編集",A1="未入力",LEFT(A1,5)="ERROR")</x:formula>
    </x:cfRule>
    <x:cfRule type="expression" dxfId="7" priority="8">
      <x:formula>A1="OK"</x:formula>
    </x:cfRule>
    <x:cfRule type="expression" dxfId="6" priority="9">
      <x:formula>A1="削除予定"</x:formula>
    </x:cfRule>
  </x:conditionalFormatting>
  <x:dataValidations count="1">
    <x:dataValidation type="list" sqref="B2 B17">
      <x:formula1>"はい,いいえ"</x:formula1>
    </x:dataValidation>
  </x:dataValidations>
  <x:pageMargins left="0.7" right="0.7" top="0.75" bottom="0.75" header="0.3" footer="0.3"/>
</x:worksheet>
</file>

<file path=xl/worksheets/sheet10.xml><?xml version="1.0" encoding="utf-8"?>
<x:worksheet xmlns:x="http://schemas.openxmlformats.org/spreadsheetml/2006/main">
  <x:sheetFormatPr defaultRowHeight="14"/>
  <x:cols>
    <x:col min="1" max="1" width="28" customWidth="1"/>
    <x:col min="2" max="2" width="76" customWidth="1"/>
    <x:col min="3" max="3" width="16" customWidth="1"/>
    <x:col min="4" max="4" width="44" customWidth="1"/>
  </x:cols>
  <x:sheetData>
    <x:row r="1" ht="20" customHeight="1">
      <x:c r="A1" s="8" t="s">
        <x:v>191</x:v>
      </x:c>
      <x:c r="B1" s="8"/>
      <x:c r="C1" s="8"/>
      <x:c r="D1" s="8"/>
    </x:row>
    <x:row r="2" ht="20" customHeight="1">
      <x:c r="A2" s="12" t="s">
        <x:v>192</x:v>
      </x:c>
      <x:c r="B2" s="12"/>
      <x:c r="C2" s="12"/>
      <x:c r="D2" s="12"/>
    </x:row>
    <x:row r="3">
      <x:c r="A3" s="2"/>
      <x:c r="B3" s="2"/>
      <x:c r="C3" s="2"/>
      <x:c r="D3" s="2"/>
    </x:row>
    <x:row r="4">
      <x:c r="A4" s="3" t="s">
        <x:v>47</x:v>
      </x:c>
      <x:c r="B4" s="2"/>
      <x:c r="C4" s="2" t="str">
        <x:f>IF(OR(C7="要編集",C7="未入力"),"ERROR: 要編集あり","OK")</x:f>
        <x:v>ERROR: 要編集あり</x:v>
      </x:c>
      <x:c r="D4" s="2"/>
    </x:row>
    <x:row r="5">
      <x:c r="A5" s="2"/>
      <x:c r="B5" s="2"/>
      <x:c r="C5" s="2"/>
      <x:c r="D5" s="2"/>
    </x:row>
    <x:row r="6" ht="20" customHeight="1">
      <x:c r="A6" s="1" t="s">
        <x:v>48</x:v>
      </x:c>
      <x:c r="B6" s="1" t="s">
        <x:v>49</x:v>
      </x:c>
      <x:c r="C6" s="1" t="s">
        <x:v>50</x:v>
      </x:c>
      <x:c r="D6" s="1" t="s">
        <x:v>52</x:v>
      </x:c>
    </x:row>
    <x:row r="7" ht="24" customHeight="1">
      <x:c r="A7" s="2" t="s">
        <x:v>43</x:v>
      </x:c>
      <x:c r="B7" s="4" t="s">
        <x:v>193</x:v>
      </x:c>
      <x:c r="C7" s="2" t="str">
        <x:f>IF(B7="","未入力",IF(B7="Copyright (C) 研究室名. All Rights Reserved.","要編集","OK"))</x:f>
        <x:v>要編集</x:v>
      </x:c>
      <x:c r="D7" s="2" t="s">
        <x:v>194</x:v>
      </x:c>
    </x:row>
  </x:sheetData>
  <x:mergeCells>
    <x:mergeCell ref="A1:D1"/>
    <x:mergeCell ref="A2:D2"/>
  </x:mergeCells>
  <x:conditionalFormatting sqref="C4:C4">
    <x:cfRule type="expression" dxfId="5" priority="4">
      <x:formula>OR(A1="要編集",A1="未入力",LEFT(A1,5)="ERROR")</x:formula>
    </x:cfRule>
    <x:cfRule type="expression" dxfId="4" priority="5">
      <x:formula>A1="OK"</x:formula>
    </x:cfRule>
    <x:cfRule type="expression" dxfId="3" priority="6">
      <x:formula>A1="削除予定"</x:formula>
    </x:cfRule>
  </x:conditionalFormatting>
  <x:conditionalFormatting sqref="C7:C7">
    <x:cfRule type="expression" dxfId="2" priority="1">
      <x:formula>OR(A1="要編集",A1="未入力",LEFT(A1,5)="ERROR")</x:formula>
    </x:cfRule>
    <x:cfRule type="expression" dxfId="1" priority="2">
      <x:formula>A1="OK"</x:formula>
    </x:cfRule>
    <x:cfRule type="expression" dxfId="0" priority="3">
      <x:formula>A1="削除予定"</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22" hidden="0" customWidth="1"/>
    <x:col min="2" max="2" width="24" hidden="0" customWidth="1"/>
    <x:col min="3" max="3" width="15" hidden="0" customWidth="1"/>
    <x:col min="4" max="4" width="30" hidden="0" customWidth="1"/>
    <x:col min="5" max="5" width="38" hidden="0" customWidth="1"/>
    <x:col min="6" max="6" width="70" hidden="0" customWidth="1"/>
    <x:col min="7" max="7" width="16" hidden="0" customWidth="1"/>
  </x:cols>
  <x:sheetData>
    <x:row r="1" ht="30" customHeight="1">
      <x:c r="A1" s="56" t="str">
        <x:v>研究室HP 入力データ｜画像</x:v>
      </x:c>
      <x:c r="B1" s="56"/>
      <x:c r="C1" s="56"/>
      <x:c r="D1" s="56"/>
      <x:c r="E1" s="56"/>
      <x:c r="F1" s="56"/>
      <x:c r="G1" s="56"/>
    </x:row>
    <x:row r="2" ht="46" customHeight="1">
      <x:c r="A2" s="61" t="str">
        <x:v>画像は input/images/ フォルダへ入れ、Excelにはファイル名だけを入力してください。メイン画像は必須、その他は任意です。このフォルダもGitHubへ保存されるため、公開して問題ない画像だけを置いてください。</x:v>
      </x:c>
      <x:c r="B2" s="61"/>
      <x:c r="C2" s="61"/>
      <x:c r="D2" s="61"/>
      <x:c r="E2" s="61"/>
      <x:c r="F2" s="61"/>
      <x:c r="G2" s="61"/>
    </x:row>
    <x:row r="3" ht="42" customHeight="1">
      <x:c r="A3" s="66" t="str">
        <x:v>「SNS共有画像（OGP）」は、ホームページのURLをSNSやチャット等で共有したときに表示される画像です。専用画像を用意しない場合はメイン画像を使用します。</x:v>
      </x:c>
      <x:c r="B3" s="66"/>
      <x:c r="C3" s="66"/>
      <x:c r="D3" s="66"/>
      <x:c r="E3" s="66"/>
      <x:c r="F3" s="66"/>
      <x:c r="G3" s="66"/>
    </x:row>
    <x:row r="4">
      <x:c r="A4" s="70" t="str">
        <x:v>画像判定</x:v>
      </x:c>
      <x:c r="C4" t="str">
        <x:f>IF(COUNTIF(G7:G11,"未入力")+COUNTIF(G7:G11,"要編集")&gt;0,"ERROR: 要編集あり","OK")</x:f>
        <x:v>ERROR: 要編集あり</x:v>
      </x:c>
    </x:row>
    <x:row r="6" ht="30" customHeight="1">
      <x:c r="A6" s="36" t="str">
        <x:v>画像ID</x:v>
      </x:c>
      <x:c r="B6" s="36" t="str">
        <x:v>画像</x:v>
      </x:c>
      <x:c r="C6" s="36" t="str">
        <x:v>使用する</x:v>
      </x:c>
      <x:c r="D6" s="36" t="str">
        <x:v>ファイル名</x:v>
      </x:c>
      <x:c r="E6" s="36" t="str">
        <x:v>画像の説明</x:v>
      </x:c>
      <x:c r="F6" s="36" t="str">
        <x:v>推奨</x:v>
      </x:c>
      <x:c r="G6" s="36" t="str">
        <x:v>判定</x:v>
      </x:c>
    </x:row>
    <x:row r="7" ht="46" customHeight="1">
      <x:c r="A7" t="str">
        <x:v>hero_main</x:v>
      </x:c>
      <x:c r="B7" t="str">
        <x:v>メイン画像</x:v>
      </x:c>
      <x:c r="C7" s="74" t="str">
        <x:v>必須</x:v>
      </x:c>
      <x:c r="D7" s="47" t="str"/>
      <x:c r="E7" s="47" t="str"/>
      <x:c r="F7" t="str">
        <x:v>ページ上部の横長画像。1190×430px程度を推奨。写真はJPG、図版はPNG。</x:v>
      </x:c>
      <x:c r="G7" s="52" t="str">
        <x:f>IF(OR(D7="",E7=""),"未入力","OK")</x:f>
        <x:v>未入力</x:v>
      </x:c>
    </x:row>
    <x:row r="8" ht="46" customHeight="1">
      <x:c r="A8" t="str">
        <x:v>profile_main</x:v>
      </x:c>
      <x:c r="B8" t="str">
        <x:v>プロフィール画像</x:v>
      </x:c>
      <x:c r="C8" s="47" t="str">
        <x:v>いいえ</x:v>
      </x:c>
      <x:c r="D8" s="47" t="str"/>
      <x:c r="E8" s="47" t="str"/>
      <x:c r="F8" t="str">
        <x:v>任意。3:4、240×320px以上を目安。写真はJPG。</x:v>
      </x:c>
      <x:c r="G8" s="52" t="str">
        <x:f>IF(C8="いいえ","OK",IF(D8="","未入力","OK"))</x:f>
        <x:v>OK</x:v>
      </x:c>
    </x:row>
    <x:row r="9" ht="46" customHeight="1">
      <x:c r="A9" t="str">
        <x:v>organization_logo</x:v>
      </x:c>
      <x:c r="B9" t="str">
        <x:v>大学・組織ロゴ</x:v>
      </x:c>
      <x:c r="C9" s="47" t="str">
        <x:v>いいえ</x:v>
      </x:c>
      <x:c r="D9" s="47" t="str"/>
      <x:c r="E9" s="47" t="str"/>
      <x:c r="F9" t="str">
        <x:v>任意。SVG推奨。なければ透過PNG。画像の説明には大学・組織名を入力し、ロゴの利用規程を確認してください。</x:v>
      </x:c>
      <x:c r="G9" s="52" t="str">
        <x:f>IF(C9="いいえ","OK",IF(OR(D9="",E9=""),"未入力","OK"))</x:f>
        <x:v>OK</x:v>
      </x:c>
    </x:row>
    <x:row r="10" ht="46" customHeight="1">
      <x:c r="A10" t="str">
        <x:v>ogp_main</x:v>
      </x:c>
      <x:c r="B10" t="str">
        <x:v>SNS共有画像（OGP）</x:v>
      </x:c>
      <x:c r="C10" s="47" t="str">
        <x:v>いいえ</x:v>
      </x:c>
      <x:c r="D10" s="47" t="str"/>
      <x:c r="E10" s="47" t="str"/>
      <x:c r="F10" t="str">
        <x:v>任意。専用画像なら1200×630px程度。未指定時はメイン画像を使用。</x:v>
      </x:c>
      <x:c r="G10" s="52" t="str">
        <x:f>IF(C10="いいえ","OK",IF(D10="","未入力","OK"))</x:f>
        <x:v>OK</x:v>
      </x:c>
    </x:row>
    <x:row r="11" ht="46" customHeight="1">
      <x:c r="A11" t="str">
        <x:v>site_icon</x:v>
      </x:c>
      <x:c r="B11" t="str">
        <x:v>サイトアイコン</x:v>
      </x:c>
      <x:c r="C11" s="47" t="str">
        <x:v>いいえ</x:v>
      </x:c>
      <x:c r="D11" s="47" t="str"/>
      <x:c r="E11" s="47" t="str"/>
      <x:c r="F11" t="str">
        <x:v>任意。ブラウザのタブ等に表示。正方形PNG 512×512px程度。未指定時は既定アイコン。</x:v>
      </x:c>
      <x:c r="G11" s="52" t="str">
        <x:f>IF(C11="いいえ","OK",IF(D11="","未入力","OK"))</x:f>
        <x:v>OK</x:v>
      </x:c>
    </x:row>
  </x:sheetData>
  <x:mergeCells>
    <x:mergeCell ref="A1:G1"/>
    <x:mergeCell ref="A2:G2"/>
    <x:mergeCell ref="A3:G3"/>
  </x:mergeCells>
  <x:conditionalFormatting sqref="C4:C4">
    <x:cfRule type="expression" dxfId="74" priority="1">
      <x:formula>LEFT(C4,5)="ERROR"</x:formula>
    </x:cfRule>
    <x:cfRule type="expression" dxfId="75" priority="2">
      <x:formula>C4="OK"</x:formula>
    </x:cfRule>
  </x:conditionalFormatting>
  <x:conditionalFormatting sqref="G7:G11">
    <x:cfRule type="expression" dxfId="76" priority="3">
      <x:formula>G7="未入力"</x:formula>
    </x:cfRule>
    <x:cfRule type="expression" dxfId="77" priority="4">
      <x:formula>G7="OK"</x:formula>
    </x:cfRule>
  </x:conditionalFormatting>
  <x:dataValidations count="1">
    <x:dataValidation type="list" sqref="C8:C11">
      <x:formula1>"はい,いいえ"</x:formula1>
    </x:dataValidation>
  </x:dataValidations>
  <x:pageMargins left="0.7" right="0.7" top="0.75" bottom="0.75" header="0.3" footer="0.3"/>
</x:worksheet>
</file>